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ehire\Downloads\"/>
    </mc:Choice>
  </mc:AlternateContent>
  <xr:revisionPtr revIDLastSave="0" documentId="13_ncr:1_{387F4DF0-EED0-4374-ACC7-6539E1428254}" xr6:coauthVersionLast="47" xr6:coauthVersionMax="47" xr10:uidLastSave="{00000000-0000-0000-0000-000000000000}"/>
  <bookViews>
    <workbookView xWindow="-120" yWindow="-120" windowWidth="20730" windowHeight="11760" tabRatio="596" activeTab="2" xr2:uid="{00000000-000D-0000-FFFF-FFFF00000000}"/>
  </bookViews>
  <sheets>
    <sheet name="Employee_Data" sheetId="1" r:id="rId1"/>
    <sheet name="Pivot_Tables" sheetId="6" r:id="rId2"/>
    <sheet name="Dashboard" sheetId="5" r:id="rId3"/>
  </sheets>
  <definedNames>
    <definedName name="Employee_Data">Employee_Data!$A$1:$M$162</definedName>
    <definedName name="Slicer_Age_Range">#N/A</definedName>
    <definedName name="Slicer_Jo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Q2" i="1" a="1"/>
  <c r="Q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Q130" i="1" a="1"/>
  <c r="Q130" i="1" s="1"/>
  <c r="Q131" i="1" a="1"/>
  <c r="Q131" i="1" s="1"/>
  <c r="Q132" i="1" a="1"/>
  <c r="Q132" i="1" s="1"/>
  <c r="Q133" i="1" a="1"/>
  <c r="Q133" i="1" s="1"/>
  <c r="Q134" i="1" a="1"/>
  <c r="Q134" i="1" s="1"/>
  <c r="Q135" i="1" a="1"/>
  <c r="Q135" i="1" s="1"/>
  <c r="Q136" i="1" a="1"/>
  <c r="Q136" i="1" s="1"/>
  <c r="Q137" i="1" a="1"/>
  <c r="Q137" i="1" s="1"/>
  <c r="Q138" i="1" a="1"/>
  <c r="Q138" i="1" s="1"/>
  <c r="Q139" i="1" a="1"/>
  <c r="Q139" i="1" s="1"/>
  <c r="Q140" i="1" a="1"/>
  <c r="Q140" i="1" s="1"/>
  <c r="Q141" i="1" a="1"/>
  <c r="Q141" i="1" s="1"/>
  <c r="Q142" i="1" a="1"/>
  <c r="Q142" i="1" s="1"/>
  <c r="Q143" i="1" a="1"/>
  <c r="Q143" i="1" s="1"/>
  <c r="Q144" i="1" a="1"/>
  <c r="Q144" i="1" s="1"/>
  <c r="Q145" i="1" a="1"/>
  <c r="Q145" i="1" s="1"/>
  <c r="Q146" i="1" a="1"/>
  <c r="Q146" i="1" s="1"/>
  <c r="Q147" i="1" a="1"/>
  <c r="Q147" i="1" s="1"/>
  <c r="Q148" i="1" a="1"/>
  <c r="Q148" i="1" s="1"/>
  <c r="Q149" i="1" a="1"/>
  <c r="Q149" i="1" s="1"/>
  <c r="Q150" i="1" a="1"/>
  <c r="Q150" i="1" s="1"/>
  <c r="Q151" i="1" a="1"/>
  <c r="Q151" i="1" s="1"/>
  <c r="Q152" i="1" a="1"/>
  <c r="Q152" i="1" s="1"/>
  <c r="Q153" i="1" a="1"/>
  <c r="Q153" i="1" s="1"/>
  <c r="Q154" i="1" a="1"/>
  <c r="Q154" i="1" s="1"/>
  <c r="Q155" i="1" a="1"/>
  <c r="Q155" i="1" s="1"/>
  <c r="Q156" i="1" a="1"/>
  <c r="Q156" i="1" s="1"/>
  <c r="Q157" i="1" a="1"/>
  <c r="Q157" i="1" s="1"/>
  <c r="Q158" i="1" a="1"/>
  <c r="Q158" i="1" s="1"/>
  <c r="Q159" i="1" a="1"/>
  <c r="Q159" i="1" s="1"/>
  <c r="Q160" i="1" a="1"/>
  <c r="Q160" i="1" s="1"/>
  <c r="Q161" i="1" a="1"/>
  <c r="Q161" i="1" s="1"/>
  <c r="Q162" i="1" a="1"/>
  <c r="Q162" i="1" s="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N2" i="1"/>
  <c r="O2" i="1" s="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O94" i="1" s="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<sst xmlns="http://schemas.openxmlformats.org/spreadsheetml/2006/main" count="1574" uniqueCount="396">
  <si>
    <t>Employee ID</t>
  </si>
  <si>
    <t>Name</t>
  </si>
  <si>
    <t>Gender</t>
  </si>
  <si>
    <t>Education Qualification</t>
  </si>
  <si>
    <t>Date of Join</t>
  </si>
  <si>
    <t>Staff Level</t>
  </si>
  <si>
    <t>Job Title</t>
  </si>
  <si>
    <t>Salary</t>
  </si>
  <si>
    <t>Salary Range</t>
  </si>
  <si>
    <t>Age</t>
  </si>
  <si>
    <t>Age Range</t>
  </si>
  <si>
    <t>Leave Balance</t>
  </si>
  <si>
    <t>Leave Balance Range</t>
  </si>
  <si>
    <t>Barr Faughny</t>
  </si>
  <si>
    <t>Male</t>
  </si>
  <si>
    <t>Bachelor's Degree</t>
  </si>
  <si>
    <t>Low Level Staff</t>
  </si>
  <si>
    <t>Chocolatier</t>
  </si>
  <si>
    <t>Low</t>
  </si>
  <si>
    <t>Early Career</t>
  </si>
  <si>
    <t>Dennison Crosswaite</t>
  </si>
  <si>
    <t>Female</t>
  </si>
  <si>
    <t>Diploma</t>
  </si>
  <si>
    <t>Production Operator</t>
  </si>
  <si>
    <t>Very Low</t>
  </si>
  <si>
    <t>Gunar Cockshoot</t>
  </si>
  <si>
    <t>High School Diploma</t>
  </si>
  <si>
    <t>Packaging Associate</t>
  </si>
  <si>
    <t>Wilone O'Kielt</t>
  </si>
  <si>
    <t>Mid Level Staff</t>
  </si>
  <si>
    <t>Marketing Specialist</t>
  </si>
  <si>
    <t>High</t>
  </si>
  <si>
    <t>Gigi Bohling</t>
  </si>
  <si>
    <t>Master's Degree</t>
  </si>
  <si>
    <t>Research Scientist</t>
  </si>
  <si>
    <t>Very High</t>
  </si>
  <si>
    <t>Curtice Advani</t>
  </si>
  <si>
    <t>Entry Level Staff</t>
  </si>
  <si>
    <t>Sales Representative</t>
  </si>
  <si>
    <t>Mid Career</t>
  </si>
  <si>
    <t>Kaine Padly</t>
  </si>
  <si>
    <t>Ches Bonnell</t>
  </si>
  <si>
    <t>Quality Control</t>
  </si>
  <si>
    <t>Andria Kimpton</t>
  </si>
  <si>
    <t>Research Analyst</t>
  </si>
  <si>
    <t>Brien Boise</t>
  </si>
  <si>
    <t>Product Manager</t>
  </si>
  <si>
    <t>Husein Augar</t>
  </si>
  <si>
    <t>Karlen McCaffrey</t>
  </si>
  <si>
    <t>Jan Morforth</t>
  </si>
  <si>
    <t>Dotty Strutley</t>
  </si>
  <si>
    <t>Marketing Manager</t>
  </si>
  <si>
    <t>Late Career</t>
  </si>
  <si>
    <t>Kelci Walkden</t>
  </si>
  <si>
    <t>Marney O'Breen</t>
  </si>
  <si>
    <t>Rafaelita Blaksland</t>
  </si>
  <si>
    <t>Madelene Upcott</t>
  </si>
  <si>
    <t>Beverie Moffet</t>
  </si>
  <si>
    <t>Senior Staff</t>
  </si>
  <si>
    <t>Oby Sorrel</t>
  </si>
  <si>
    <t>Mallorie Waber</t>
  </si>
  <si>
    <t>Jehu Rudeforth</t>
  </si>
  <si>
    <t>Van Tuxwell</t>
  </si>
  <si>
    <t>Roddy Speechley</t>
  </si>
  <si>
    <t>Camilla Castle</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</si>
  <si>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</si>
  <si>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</si>
  <si>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</si>
  <si>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</si>
  <si>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</si>
  <si>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</si>
  <si>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</si>
  <si>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</si>
  <si>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</si>
  <si>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</si>
  <si>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</si>
  <si>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</si>
  <si>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</si>
  <si>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</si>
  <si>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</si>
  <si>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</si>
  <si>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</si>
  <si>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</si>
  <si>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</si>
  <si>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</si>
  <si>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</si>
  <si>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</si>
  <si>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</si>
  <si>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</si>
  <si>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</si>
  <si>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</si>
  <si>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</si>
  <si>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</si>
  <si>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</si>
  <si>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</si>
  <si>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</si>
  <si>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</si>
  <si>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</si>
  <si>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</si>
  <si>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</si>
  <si>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</si>
  <si>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</si>
  <si>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</si>
  <si>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</si>
  <si>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</si>
  <si>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</si>
  <si>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</si>
  <si>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</si>
  <si>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</si>
  <si>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</si>
  <si>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Trio Lipa</t>
  </si>
  <si>
    <t>Shayne Stegel</t>
  </si>
  <si>
    <t>Hyacinthie Braybrooke</t>
  </si>
  <si>
    <t>Agnes Collicott</t>
  </si>
  <si>
    <t>Teressa Udden</t>
  </si>
  <si>
    <t>Bennie Pepis</t>
  </si>
  <si>
    <t>Elia Cockton</t>
  </si>
  <si>
    <t>A R Rahadude</t>
  </si>
  <si>
    <t>Murry Dryburgh</t>
  </si>
  <si>
    <t>Mahalia Larcher</t>
  </si>
  <si>
    <t>Bili Sizey</t>
  </si>
  <si>
    <t>Lilyan Klimpt</t>
  </si>
  <si>
    <t>Almond Joy</t>
  </si>
  <si>
    <t>Leilah Yesinin</t>
  </si>
  <si>
    <t>Collin Jagson</t>
  </si>
  <si>
    <t>Kellsie Waby</t>
  </si>
  <si>
    <t>Simon Kembery</t>
  </si>
  <si>
    <t>Tawnya Tickel</t>
  </si>
  <si>
    <t>Bernie Gorges</t>
  </si>
  <si>
    <t>Florinda Crace</t>
  </si>
  <si>
    <t>Oran Buxcy</t>
  </si>
  <si>
    <t>Anvi Verma</t>
  </si>
  <si>
    <t>Zara Mishra</t>
  </si>
  <si>
    <t>Dev Joshi</t>
  </si>
  <si>
    <t>Pari Sharma</t>
  </si>
  <si>
    <t>Aanya Kapoor</t>
  </si>
  <si>
    <t>Kiara Choudhary</t>
  </si>
  <si>
    <t>Reyansh Iyer</t>
  </si>
  <si>
    <t>Samaira Agarwal</t>
  </si>
  <si>
    <t>Avani Malhotra</t>
  </si>
  <si>
    <t>Kiaan Rana</t>
  </si>
  <si>
    <t>Aarav Shah</t>
  </si>
  <si>
    <t>Anaya Gupta</t>
  </si>
  <si>
    <t>Munch Munch</t>
  </si>
  <si>
    <t>Siya Trivedi</t>
  </si>
  <si>
    <t>Kabir Kapoor</t>
  </si>
  <si>
    <t>Rhea Saxena</t>
  </si>
  <si>
    <t>Advait Sharma</t>
  </si>
  <si>
    <t>Aarush Mishra</t>
  </si>
  <si>
    <t>Anika Chawla</t>
  </si>
  <si>
    <t>Zara Verma</t>
  </si>
  <si>
    <t>Dev Agarwal</t>
  </si>
  <si>
    <t>Pari Kumar</t>
  </si>
  <si>
    <t>Aanya Singh</t>
  </si>
  <si>
    <t>Kiara Joshi</t>
  </si>
  <si>
    <t>Reyansh Malhotra</t>
  </si>
  <si>
    <t>M&amp;M Peanut</t>
  </si>
  <si>
    <t>Avani Agarwal</t>
  </si>
  <si>
    <t>Nestle Crunch</t>
  </si>
  <si>
    <t>Aarav Verma</t>
  </si>
  <si>
    <t>Anaya Choudhary</t>
  </si>
  <si>
    <t>Krish Trivedi</t>
  </si>
  <si>
    <t>Siya Rawat</t>
  </si>
  <si>
    <t>Kabir Shah</t>
  </si>
  <si>
    <t>Rhea Bhatia</t>
  </si>
  <si>
    <t>Advait Kumar</t>
  </si>
  <si>
    <t>Aarush Verma</t>
  </si>
  <si>
    <t>Anika Singh</t>
  </si>
  <si>
    <t>Zara Chawla</t>
  </si>
  <si>
    <t>Pari Gupta</t>
  </si>
  <si>
    <t>Aanya Trivedi</t>
  </si>
  <si>
    <t>Kiara Bhatia</t>
  </si>
  <si>
    <t>Reyansh Rana</t>
  </si>
  <si>
    <t>Pre-Retirement</t>
  </si>
  <si>
    <t>Lindt Truffle</t>
  </si>
  <si>
    <t>Avani Iyer</t>
  </si>
  <si>
    <t>Kiaan Shah</t>
  </si>
  <si>
    <t>Oreo Delight</t>
  </si>
  <si>
    <t>Anaya Agarwal</t>
  </si>
  <si>
    <t>Krish Rawat</t>
  </si>
  <si>
    <t>Siya Sharma</t>
  </si>
  <si>
    <t>Kabir Trivedi</t>
  </si>
  <si>
    <t>Rhea Malhotra</t>
  </si>
  <si>
    <t>Advait Kapoor</t>
  </si>
  <si>
    <t>Zagnut Nut</t>
  </si>
  <si>
    <t>Anika Joshi</t>
  </si>
  <si>
    <t>Dev Chawla</t>
  </si>
  <si>
    <t>Eltin John</t>
  </si>
  <si>
    <t>Michael Walkson</t>
  </si>
  <si>
    <t>ADPT0001</t>
  </si>
  <si>
    <t>ADPT0002</t>
  </si>
  <si>
    <t>ADPT0003</t>
  </si>
  <si>
    <t>ADPT0004</t>
  </si>
  <si>
    <t>ADPT0005</t>
  </si>
  <si>
    <t>ADPT0006</t>
  </si>
  <si>
    <t>ADPT0007</t>
  </si>
  <si>
    <t>ADPT0008</t>
  </si>
  <si>
    <t>ADPT0009</t>
  </si>
  <si>
    <t>ADPT0010</t>
  </si>
  <si>
    <t>ADPT0011</t>
  </si>
  <si>
    <t>ADPT0012</t>
  </si>
  <si>
    <t>ADPT0013</t>
  </si>
  <si>
    <t>ADPT0014</t>
  </si>
  <si>
    <t>ADPT0015</t>
  </si>
  <si>
    <t>ADPT0016</t>
  </si>
  <si>
    <t>ADPT0017</t>
  </si>
  <si>
    <t>ADPT0018</t>
  </si>
  <si>
    <t>ADPT0019</t>
  </si>
  <si>
    <t>ADPT0020</t>
  </si>
  <si>
    <t>ADPT0021</t>
  </si>
  <si>
    <t>ADPT0022</t>
  </si>
  <si>
    <t>ADPT0023</t>
  </si>
  <si>
    <t>ADPT0024</t>
  </si>
  <si>
    <t>ADPT0025</t>
  </si>
  <si>
    <t>ADPT0026</t>
  </si>
  <si>
    <t>ADPT0027</t>
  </si>
  <si>
    <t>ADPT0028</t>
  </si>
  <si>
    <t>ADPT0029</t>
  </si>
  <si>
    <t>ADPT0030</t>
  </si>
  <si>
    <t>ADPT0031</t>
  </si>
  <si>
    <t>ADPT0032</t>
  </si>
  <si>
    <t>ADPT0033</t>
  </si>
  <si>
    <t>ADPT0034</t>
  </si>
  <si>
    <t>ADPT0035</t>
  </si>
  <si>
    <t>ADPT0036</t>
  </si>
  <si>
    <t>ADPT0037</t>
  </si>
  <si>
    <t>ADPT0038</t>
  </si>
  <si>
    <t>ADPT0039</t>
  </si>
  <si>
    <t>ADPT0040</t>
  </si>
  <si>
    <t>ADPT0041</t>
  </si>
  <si>
    <t>ADPT0042</t>
  </si>
  <si>
    <t>ADPT0043</t>
  </si>
  <si>
    <t>ADPT0044</t>
  </si>
  <si>
    <t>ADPT0045</t>
  </si>
  <si>
    <t>ADPT0046</t>
  </si>
  <si>
    <t>ADPT0047</t>
  </si>
  <si>
    <t>ADPT0048</t>
  </si>
  <si>
    <t>ADPT0049</t>
  </si>
  <si>
    <t>ADPT0050</t>
  </si>
  <si>
    <t>ADPT0051</t>
  </si>
  <si>
    <t>ADPT0052</t>
  </si>
  <si>
    <t>ADPT0053</t>
  </si>
  <si>
    <t>ADPT0054</t>
  </si>
  <si>
    <t>ADPT0055</t>
  </si>
  <si>
    <t>ADPT0056</t>
  </si>
  <si>
    <t>ADPT0057</t>
  </si>
  <si>
    <t>ADPT0058</t>
  </si>
  <si>
    <t>ADPT0059</t>
  </si>
  <si>
    <t>ADPT0060</t>
  </si>
  <si>
    <t>ADPT0061</t>
  </si>
  <si>
    <t>ADPT0062</t>
  </si>
  <si>
    <t>ADPT0063</t>
  </si>
  <si>
    <t>ADPT0064</t>
  </si>
  <si>
    <t>ADPT0065</t>
  </si>
  <si>
    <t>ADPT0066</t>
  </si>
  <si>
    <t>ADPT0067</t>
  </si>
  <si>
    <t>ADPT0068</t>
  </si>
  <si>
    <t>ADPT0069</t>
  </si>
  <si>
    <t>ADPT0070</t>
  </si>
  <si>
    <t>ADPT0071</t>
  </si>
  <si>
    <t>ADPT0072</t>
  </si>
  <si>
    <t>ADPT0073</t>
  </si>
  <si>
    <t>ADPT0074</t>
  </si>
  <si>
    <t>ADPT0075</t>
  </si>
  <si>
    <t>ADPT0076</t>
  </si>
  <si>
    <t>ADPT0077</t>
  </si>
  <si>
    <t>ADPT0078</t>
  </si>
  <si>
    <t>ADPT0079</t>
  </si>
  <si>
    <t>ADPT0080</t>
  </si>
  <si>
    <t>ADPT0081</t>
  </si>
  <si>
    <t>ADPT0082</t>
  </si>
  <si>
    <t>ADPT0083</t>
  </si>
  <si>
    <t>ADPT0084</t>
  </si>
  <si>
    <t>ADPT0085</t>
  </si>
  <si>
    <t>ADPT0086</t>
  </si>
  <si>
    <t>ADPT0087</t>
  </si>
  <si>
    <t>ADPT0088</t>
  </si>
  <si>
    <t>ADPT0089</t>
  </si>
  <si>
    <t>ADPT0090</t>
  </si>
  <si>
    <t>ADPT0091</t>
  </si>
  <si>
    <t>ADPT0092</t>
  </si>
  <si>
    <t>ADPT0093</t>
  </si>
  <si>
    <t>ADPT0094</t>
  </si>
  <si>
    <t>ADPT0095</t>
  </si>
  <si>
    <t>ADPT0096</t>
  </si>
  <si>
    <t>ADPT0097</t>
  </si>
  <si>
    <t>ADPT0098</t>
  </si>
  <si>
    <t>ADPT0099</t>
  </si>
  <si>
    <t>ADPT0100</t>
  </si>
  <si>
    <t>ADPT0101</t>
  </si>
  <si>
    <t>ADPT0102</t>
  </si>
  <si>
    <t>ADPT0103</t>
  </si>
  <si>
    <t>ADPT0104</t>
  </si>
  <si>
    <t>ADPT0105</t>
  </si>
  <si>
    <t>ADPT0106</t>
  </si>
  <si>
    <t>ADPT0107</t>
  </si>
  <si>
    <t>ADPT0108</t>
  </si>
  <si>
    <t>ADPT0109</t>
  </si>
  <si>
    <t>ADPT0110</t>
  </si>
  <si>
    <t>ADPT0111</t>
  </si>
  <si>
    <t>ADPT0112</t>
  </si>
  <si>
    <t>ADPT0113</t>
  </si>
  <si>
    <t>ADPT0114</t>
  </si>
  <si>
    <t>ADPT0115</t>
  </si>
  <si>
    <t>ADPT0116</t>
  </si>
  <si>
    <t>ADPT0117</t>
  </si>
  <si>
    <t>ADPT0118</t>
  </si>
  <si>
    <t>ADPT0119</t>
  </si>
  <si>
    <t>ADPT0120</t>
  </si>
  <si>
    <t>ADPT0121</t>
  </si>
  <si>
    <t>ADPT0122</t>
  </si>
  <si>
    <t>ADPT0123</t>
  </si>
  <si>
    <t>ADPT0124</t>
  </si>
  <si>
    <t>ADPT0125</t>
  </si>
  <si>
    <t>ADPT0126</t>
  </si>
  <si>
    <t>ADPT0127</t>
  </si>
  <si>
    <t>ADPT0128</t>
  </si>
  <si>
    <t>ADPT0129</t>
  </si>
  <si>
    <t>ADPT0130</t>
  </si>
  <si>
    <t>ADPT0131</t>
  </si>
  <si>
    <t>ADPT0132</t>
  </si>
  <si>
    <t>ADPT0133</t>
  </si>
  <si>
    <t>ADPT0134</t>
  </si>
  <si>
    <t>ADPT0135</t>
  </si>
  <si>
    <t>ADPT0136</t>
  </si>
  <si>
    <t>ADPT0137</t>
  </si>
  <si>
    <t>ADPT0138</t>
  </si>
  <si>
    <t>ADPT0139</t>
  </si>
  <si>
    <t>ADPT0140</t>
  </si>
  <si>
    <t>ADPT0141</t>
  </si>
  <si>
    <t>ADPT0142</t>
  </si>
  <si>
    <t>ADPT0143</t>
  </si>
  <si>
    <t>ADPT0144</t>
  </si>
  <si>
    <t>ADPT0145</t>
  </si>
  <si>
    <t>ADPT0146</t>
  </si>
  <si>
    <t>ADPT0147</t>
  </si>
  <si>
    <t>ADPT0148</t>
  </si>
  <si>
    <t>ADPT0149</t>
  </si>
  <si>
    <t>ADPT0150</t>
  </si>
  <si>
    <t>ADPT0151</t>
  </si>
  <si>
    <t>ADPT0152</t>
  </si>
  <si>
    <t>ADPT0153</t>
  </si>
  <si>
    <t>ADPT0154</t>
  </si>
  <si>
    <t>ADPT0155</t>
  </si>
  <si>
    <t>ADPT0156</t>
  </si>
  <si>
    <t>ADPT0157</t>
  </si>
  <si>
    <t>ADPT0158</t>
  </si>
  <si>
    <t>ADPT0159</t>
  </si>
  <si>
    <t>ADPT0160</t>
  </si>
  <si>
    <t>ADPT0161</t>
  </si>
  <si>
    <t>Today's Date</t>
  </si>
  <si>
    <t>Tenure</t>
  </si>
  <si>
    <t>5years</t>
  </si>
  <si>
    <t>4years</t>
  </si>
  <si>
    <t>6years</t>
  </si>
  <si>
    <t>8years</t>
  </si>
  <si>
    <t>7years</t>
  </si>
  <si>
    <t>3years</t>
  </si>
  <si>
    <t>2years</t>
  </si>
  <si>
    <t>Specialized Roles</t>
  </si>
  <si>
    <t>ID (Employee Name)</t>
  </si>
  <si>
    <t>2a</t>
  </si>
  <si>
    <t>2b</t>
  </si>
  <si>
    <t>Operational Roles</t>
  </si>
  <si>
    <t>2c</t>
  </si>
  <si>
    <t>Support Roles</t>
  </si>
  <si>
    <t>2d</t>
  </si>
  <si>
    <t>Educational Qualification</t>
  </si>
  <si>
    <t>Sum of Salary</t>
  </si>
  <si>
    <t>Job Category</t>
  </si>
  <si>
    <t>Day of Join</t>
  </si>
  <si>
    <t>Month of Join</t>
  </si>
  <si>
    <t>Year of Join</t>
  </si>
  <si>
    <t>2017</t>
  </si>
  <si>
    <t>2018</t>
  </si>
  <si>
    <t>Count of ID (Employee Name)</t>
  </si>
  <si>
    <t>Grand Total</t>
  </si>
  <si>
    <t>2022</t>
  </si>
  <si>
    <t>2021</t>
  </si>
  <si>
    <t>2020</t>
  </si>
  <si>
    <t>2023</t>
  </si>
  <si>
    <t>2019</t>
  </si>
  <si>
    <t>Jun</t>
  </si>
  <si>
    <t>Feb</t>
  </si>
  <si>
    <t>Sept</t>
  </si>
  <si>
    <t>Nov</t>
  </si>
  <si>
    <t>Apr</t>
  </si>
  <si>
    <t>Mar</t>
  </si>
  <si>
    <t>Jan</t>
  </si>
  <si>
    <t>Jul</t>
  </si>
  <si>
    <t>Aug</t>
  </si>
  <si>
    <t>Oct</t>
  </si>
  <si>
    <t>May</t>
  </si>
  <si>
    <t>Dec</t>
  </si>
  <si>
    <t>Count of Employee on the Date of Join</t>
  </si>
  <si>
    <t>Staff Educational qualification and Job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</si>
</sst>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0"/>
      <color rgb="FF000000"/>
      <name val="Calibri"/>
      <scheme val="minor"/>
    </font>
    <font>
      <sz val="10"/>
      <name val="Calibri"/>
    </font>
    <font>
      <b/>
      <sz val="15"/>
      <color theme="3"/>
      <name val="Calibri"/>
      <family val="2"/>
      <scheme val="minor"/>
    </font>
    <font>
      <sz val="10"/>
      <name val="Calibri"/>
      <family val="2"/>
    </font>
    <font>
      <sz val="10"/>
      <color rgb="FF000000"/>
      <name val="Calibri"/>
      <family val="2"/>
      <scheme val="minor"/>
    </font>
    <font>
      <strike/>
      <sz val="10"/>
      <color rgb="FF000000"/>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499984740745262"/>
        <bgColor indexed="64"/>
      </patternFill>
    </fill>
    <fill>
      <patternFill patternType="solid">
        <fgColor theme="2" tint="-9.9978637043366805E-2"/>
        <bgColor indexed="64"/>
      </patternFill>
    </fill>
  </fills>
  <borders count="2">
    <border>
      <left/>
      <right/>
      <top/>
      <bottom/>
      <diagonal/>
    </border>
    <border>
      <left/>
      <right/>
      <top/>
      <bottom style="thick">
        <color theme="4"/>
      </bottom>
      <diagonal/>
    </border>
  </borders>
  <cellStyleXfs count="2">
    <xf numFmtId="0" fontId="0" fillId="0" borderId="0"/>
    <xf numFmtId="0" fontId="2" fillId="0" borderId="1" applyNumberFormat="0" applyFill="0" applyAlignment="0" applyProtection="0"/>
  </cellStyleXfs>
  <cellXfs count="22">
    <xf numFmtId="0" fontId="0" fillId="0" borderId="0" xfId="0"/>
    <xf numFmtId="0" fontId="1" fillId="0" borderId="0" xfId="0" applyFont="1"/>
    <xf numFmtId="14" fontId="1" fillId="0" borderId="0" xfId="0" applyNumberFormat="1" applyFont="1"/>
    <xf numFmtId="0" fontId="3" fillId="0" borderId="0" xfId="0" applyFont="1"/>
    <xf numFmtId="164" fontId="0" fillId="0" borderId="0" xfId="0" applyNumberFormat="1"/>
    <xf numFmtId="164" fontId="1" fillId="0" borderId="0" xfId="0" applyNumberFormat="1" applyFont="1"/>
    <xf numFmtId="14" fontId="0" fillId="0" borderId="0" xfId="0" applyNumberFormat="1"/>
    <xf numFmtId="0" fontId="0" fillId="0" borderId="0" xfId="0" applyAlignment="1">
      <alignment horizontal="left" vertical="center"/>
    </xf>
    <xf numFmtId="0" fontId="0" fillId="3" borderId="0" xfId="0" applyFill="1" applyAlignment="1">
      <alignment horizontal="center" vertical="center"/>
    </xf>
    <xf numFmtId="0" fontId="0" fillId="0" borderId="0" xfId="0" applyAlignment="1">
      <alignment horizontal="center" vertical="center"/>
    </xf>
    <xf numFmtId="0" fontId="0" fillId="0" borderId="0" xfId="0" pivotButton="1" applyAlignment="1">
      <alignment horizontal="center" vertical="center"/>
    </xf>
    <xf numFmtId="0" fontId="0" fillId="0" borderId="0" xfId="0" pivotButton="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indent="1"/>
    </xf>
    <xf numFmtId="164" fontId="0" fillId="0" borderId="0" xfId="0" applyNumberFormat="1" applyAlignment="1">
      <alignment horizontal="right" vertical="center"/>
    </xf>
    <xf numFmtId="0" fontId="4" fillId="4" borderId="0" xfId="0" applyFont="1" applyFill="1"/>
    <xf numFmtId="0" fontId="0" fillId="4" borderId="0" xfId="0" applyFill="1"/>
    <xf numFmtId="0" fontId="5" fillId="4" borderId="0" xfId="0" applyFont="1" applyFill="1"/>
    <xf numFmtId="0" fontId="2" fillId="2" borderId="1" xfId="1" applyFill="1" applyAlignment="1">
      <alignment horizontal="center" vertical="center"/>
    </xf>
    <xf numFmtId="0" fontId="0" fillId="0" borderId="0" xfId="0" applyAlignment="1">
      <alignment horizontal="right" vertical="center"/>
    </xf>
    <xf numFmtId="10" fontId="0" fillId="0" borderId="0" xfId="0" applyNumberFormat="1" applyAlignment="1">
      <alignment horizontal="right" vertical="center"/>
    </xf>
    <xf numFmtId="0" fontId="2" fillId="2" borderId="1" xfId="1" applyFill="1" applyAlignment="1">
      <alignment horizontal="center" vertical="center"/>
    </xf>
  </cellXfs>
  <cellStyles count="2">
    <cellStyle name="Heading 1" xfId="1" builtinId="16"/>
    <cellStyle name="Normal" xfId="0" builtinId="0"/>
  </cellStyles>
  <dxfs count="152">
    <dxf>
      <numFmt numFmtId="14" formatCode="0.00%"/>
    </dxf>
    <dxf>
      <alignment horizontal="right"/>
    </dxf>
    <dxf>
      <alignment horizontal="left" indent="1"/>
    </dxf>
    <dxf>
      <alignment wrapText="1"/>
    </dxf>
    <dxf>
      <alignment wrapText="1"/>
    </dxf>
    <dxf>
      <alignment horizontal="righ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alignment horizontal="left"/>
    </dxf>
    <dxf>
      <alignment horizontal="righ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horizontal="left"/>
    </dxf>
    <dxf>
      <alignment horizontal="righ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horizontal="right"/>
    </dxf>
    <dxf>
      <alignment horizontal="left"/>
    </dxf>
    <dxf>
      <alignment horizontal="righ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horizontal="left"/>
    </dxf>
    <dxf>
      <alignment horizontal="righ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right"/>
    </dxf>
    <dxf>
      <alignment horizontal="left"/>
    </dxf>
    <dxf>
      <alignment wrapText="1"/>
    </dxf>
    <dxf>
      <alignment wrapText="1"/>
    </dxf>
    <dxf>
      <alignment horizontal="right"/>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wrapText="1"/>
    </dxf>
    <dxf>
      <alignment horizontal="right"/>
    </dxf>
    <dxf>
      <alignment horizontal="right"/>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horizontal="left"/>
    </dxf>
    <dxf>
      <alignment horizontal="right"/>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19" formatCode="dd/mm/yyyy"/>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numFmt numFmtId="164" formatCode="&quot;₦&quot;#,##0"/>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numFmt numFmtId="19" formatCode="dd/mm/yyyy"/>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Dataset.xlsx]Pivot_Tables!PivotTable17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lumMod val="85000"/>
                    <a:lumOff val="15000"/>
                  </a:schemeClr>
                </a:solidFill>
              </a:rPr>
              <a:t>Employee Onboarding over the years in each Month</a:t>
            </a:r>
          </a:p>
        </c:rich>
      </c:tx>
      <c:layout>
        <c:manualLayout>
          <c:xMode val="edge"/>
          <c:yMode val="edge"/>
          <c:x val="0.20881806108897744"/>
          <c:y val="4.80217983969079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pivotFmt>
      <c:pivotFmt>
        <c:idx val="9"/>
        <c:spPr>
          <a:solidFill>
            <a:schemeClr val="accent1"/>
          </a:solidFill>
          <a:ln w="28575" cap="rnd">
            <a:solidFill>
              <a:schemeClr val="accent1"/>
            </a:solidFill>
            <a:round/>
          </a:ln>
          <a:effectLst/>
        </c:spPr>
      </c:pivotFmt>
      <c:pivotFmt>
        <c:idx val="10"/>
        <c:spPr>
          <a:solidFill>
            <a:schemeClr val="accent1"/>
          </a:solidFill>
          <a:ln w="28575" cap="rnd">
            <a:solidFill>
              <a:schemeClr val="accent1"/>
            </a:solidFill>
            <a:round/>
          </a:ln>
          <a:effectLst/>
        </c:spPr>
      </c:pivotFmt>
      <c:pivotFmt>
        <c:idx val="11"/>
        <c:spPr>
          <a:solidFill>
            <a:schemeClr val="accent1"/>
          </a:solidFill>
          <a:ln w="28575" cap="rnd">
            <a:solidFill>
              <a:schemeClr val="accent1"/>
            </a:solidFill>
            <a:round/>
          </a:ln>
          <a:effectLst/>
        </c:spPr>
      </c:pivotFmt>
      <c:pivotFmt>
        <c:idx val="12"/>
        <c:spPr>
          <a:solidFill>
            <a:schemeClr val="accent1"/>
          </a:solidFill>
          <a:ln w="28575" cap="rnd">
            <a:solidFill>
              <a:schemeClr val="accent1"/>
            </a:solidFill>
            <a:round/>
          </a:ln>
          <a:effectLst/>
        </c:spPr>
      </c:pivotFmt>
      <c:pivotFmt>
        <c:idx val="1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pivotFmt>
      <c:pivotFmt>
        <c:idx val="21"/>
        <c:spPr>
          <a:solidFill>
            <a:schemeClr val="accent1"/>
          </a:solidFill>
          <a:ln w="28575" cap="rnd">
            <a:solidFill>
              <a:schemeClr val="accent1"/>
            </a:solidFill>
            <a:round/>
          </a:ln>
          <a:effectLst/>
        </c:spPr>
      </c:pivotFmt>
      <c:pivotFmt>
        <c:idx val="22"/>
        <c:spPr>
          <a:solidFill>
            <a:schemeClr val="accent1"/>
          </a:solidFill>
          <a:ln w="28575" cap="rnd">
            <a:solidFill>
              <a:schemeClr val="accent1"/>
            </a:solidFill>
            <a:round/>
          </a:ln>
          <a:effectLst/>
        </c:spPr>
      </c:pivotFmt>
      <c:pivotFmt>
        <c:idx val="23"/>
        <c:spPr>
          <a:solidFill>
            <a:schemeClr val="accent1"/>
          </a:solidFill>
          <a:ln w="28575" cap="rnd">
            <a:solidFill>
              <a:schemeClr val="accent1"/>
            </a:solidFill>
            <a:round/>
          </a:ln>
          <a:effectLst/>
        </c:spPr>
      </c:pivotFmt>
      <c:pivotFmt>
        <c:idx val="24"/>
        <c:spPr>
          <a:solidFill>
            <a:schemeClr val="accent1"/>
          </a:solidFill>
          <a:ln w="28575" cap="rnd">
            <a:solidFill>
              <a:schemeClr val="accent1"/>
            </a:solidFill>
            <a:round/>
          </a:ln>
          <a:effectLst/>
        </c:spPr>
      </c:pivotFmt>
      <c:pivotFmt>
        <c:idx val="25"/>
        <c:spPr>
          <a:solidFill>
            <a:schemeClr val="accent1"/>
          </a:solidFill>
          <a:ln w="28575" cap="rnd">
            <a:solidFill>
              <a:schemeClr val="accent1"/>
            </a:solidFill>
            <a:round/>
          </a:ln>
          <a:effectLst/>
        </c:spPr>
      </c:pivotFmt>
      <c:pivotFmt>
        <c:idx val="26"/>
        <c:spPr>
          <a:solidFill>
            <a:schemeClr val="accent1"/>
          </a:solidFill>
          <a:ln w="28575" cap="rnd">
            <a:solidFill>
              <a:schemeClr val="accent1"/>
            </a:solidFill>
            <a:round/>
          </a:ln>
          <a:effectLst/>
        </c:spPr>
      </c:pivotFmt>
      <c:pivotFmt>
        <c:idx val="2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Pivot_Tables!$T$3:$T$4</c:f>
              <c:strCache>
                <c:ptCount val="1"/>
                <c:pt idx="0">
                  <c:v>2017</c:v>
                </c:pt>
              </c:strCache>
            </c:strRef>
          </c:tx>
          <c:spPr>
            <a:ln w="28575" cap="rnd">
              <a:solidFill>
                <a:schemeClr val="accent1"/>
              </a:solidFill>
              <a:round/>
            </a:ln>
            <a:effectLst/>
          </c:spPr>
          <c:marker>
            <c:symbol val="none"/>
          </c:marker>
          <c:cat>
            <c:strRef>
              <c:f>Pivot_Tables!$S$5:$S$17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Pivot_Tables!$T$5:$T$17</c:f>
              <c:numCache>
                <c:formatCode>General</c:formatCode>
                <c:ptCount val="12"/>
                <c:pt idx="3">
                  <c:v>2</c:v>
                </c:pt>
                <c:pt idx="4">
                  <c:v>1</c:v>
                </c:pt>
                <c:pt idx="5">
                  <c:v>2</c:v>
                </c:pt>
                <c:pt idx="6">
                  <c:v>2</c:v>
                </c:pt>
                <c:pt idx="7">
                  <c:v>1</c:v>
                </c:pt>
                <c:pt idx="9">
                  <c:v>1</c:v>
                </c:pt>
                <c:pt idx="10">
                  <c:v>1</c:v>
                </c:pt>
              </c:numCache>
            </c:numRef>
          </c:val>
          <c:smooth val="1"/>
          <c:extLst>
            <c:ext xmlns:c16="http://schemas.microsoft.com/office/drawing/2014/chart" uri="{C3380CC4-5D6E-409C-BE32-E72D297353CC}">
              <c16:uniqueId val="{00000000-A417-41A7-89D6-65DAAF759CCB}"/>
            </c:ext>
          </c:extLst>
        </c:ser>
        <c:ser>
          <c:idx val="1"/>
          <c:order val="1"/>
          <c:tx>
            <c:strRef>
              <c:f>Pivot_Tables!$U$3:$U$4</c:f>
              <c:strCache>
                <c:ptCount val="1"/>
                <c:pt idx="0">
                  <c:v>2018</c:v>
                </c:pt>
              </c:strCache>
            </c:strRef>
          </c:tx>
          <c:spPr>
            <a:ln w="28575" cap="rnd">
              <a:solidFill>
                <a:schemeClr val="accent2"/>
              </a:solidFill>
              <a:round/>
            </a:ln>
            <a:effectLst/>
          </c:spPr>
          <c:marker>
            <c:symbol val="none"/>
          </c:marker>
          <c:cat>
            <c:strRef>
              <c:f>Pivot_Tables!$S$5:$S$17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Pivot_Tables!$U$5:$U$17</c:f>
              <c:numCache>
                <c:formatCode>General</c:formatCode>
                <c:ptCount val="12"/>
                <c:pt idx="3">
                  <c:v>2</c:v>
                </c:pt>
                <c:pt idx="4">
                  <c:v>1</c:v>
                </c:pt>
                <c:pt idx="5">
                  <c:v>1</c:v>
                </c:pt>
                <c:pt idx="6">
                  <c:v>1</c:v>
                </c:pt>
                <c:pt idx="7">
                  <c:v>1</c:v>
                </c:pt>
                <c:pt idx="8">
                  <c:v>7</c:v>
                </c:pt>
                <c:pt idx="9">
                  <c:v>4</c:v>
                </c:pt>
                <c:pt idx="10">
                  <c:v>4</c:v>
                </c:pt>
                <c:pt idx="11">
                  <c:v>2</c:v>
                </c:pt>
              </c:numCache>
            </c:numRef>
          </c:val>
          <c:smooth val="1"/>
          <c:extLst>
            <c:ext xmlns:c16="http://schemas.microsoft.com/office/drawing/2014/chart" uri="{C3380CC4-5D6E-409C-BE32-E72D297353CC}">
              <c16:uniqueId val="{00000001-A417-41A7-89D6-65DAAF759CCB}"/>
            </c:ext>
          </c:extLst>
        </c:ser>
        <c:ser>
          <c:idx val="2"/>
          <c:order val="2"/>
          <c:tx>
            <c:strRef>
              <c:f>Pivot_Tables!$V$3:$V$4</c:f>
              <c:strCache>
                <c:ptCount val="1"/>
                <c:pt idx="0">
                  <c:v>2019</c:v>
                </c:pt>
              </c:strCache>
            </c:strRef>
          </c:tx>
          <c:spPr>
            <a:ln w="28575" cap="rnd">
              <a:solidFill>
                <a:schemeClr val="accent3"/>
              </a:solidFill>
              <a:round/>
            </a:ln>
            <a:effectLst/>
          </c:spPr>
          <c:marker>
            <c:symbol val="none"/>
          </c:marker>
          <c:cat>
            <c:strRef>
              <c:f>Pivot_Tables!$S$5:$S$17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Pivot_Tables!$V$5:$V$17</c:f>
              <c:numCache>
                <c:formatCode>General</c:formatCode>
                <c:ptCount val="12"/>
                <c:pt idx="2">
                  <c:v>4</c:v>
                </c:pt>
                <c:pt idx="3">
                  <c:v>2</c:v>
                </c:pt>
                <c:pt idx="4">
                  <c:v>1</c:v>
                </c:pt>
                <c:pt idx="5">
                  <c:v>4</c:v>
                </c:pt>
                <c:pt idx="6">
                  <c:v>3</c:v>
                </c:pt>
                <c:pt idx="7">
                  <c:v>4</c:v>
                </c:pt>
                <c:pt idx="8">
                  <c:v>4</c:v>
                </c:pt>
                <c:pt idx="9">
                  <c:v>2</c:v>
                </c:pt>
                <c:pt idx="10">
                  <c:v>3</c:v>
                </c:pt>
                <c:pt idx="11">
                  <c:v>2</c:v>
                </c:pt>
              </c:numCache>
            </c:numRef>
          </c:val>
          <c:smooth val="1"/>
          <c:extLst>
            <c:ext xmlns:c16="http://schemas.microsoft.com/office/drawing/2014/chart" uri="{C3380CC4-5D6E-409C-BE32-E72D297353CC}">
              <c16:uniqueId val="{00000001-019E-4F42-9830-697018E9E7FB}"/>
            </c:ext>
          </c:extLst>
        </c:ser>
        <c:ser>
          <c:idx val="3"/>
          <c:order val="3"/>
          <c:tx>
            <c:strRef>
              <c:f>Pivot_Tables!$W$3:$W$4</c:f>
              <c:strCache>
                <c:ptCount val="1"/>
                <c:pt idx="0">
                  <c:v>2020</c:v>
                </c:pt>
              </c:strCache>
            </c:strRef>
          </c:tx>
          <c:spPr>
            <a:ln w="28575" cap="rnd">
              <a:solidFill>
                <a:schemeClr val="accent4"/>
              </a:solidFill>
              <a:round/>
            </a:ln>
            <a:effectLst/>
          </c:spPr>
          <c:marker>
            <c:symbol val="none"/>
          </c:marker>
          <c:cat>
            <c:strRef>
              <c:f>Pivot_Tables!$S$5:$S$17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Pivot_Tables!$W$5:$W$17</c:f>
              <c:numCache>
                <c:formatCode>General</c:formatCode>
                <c:ptCount val="12"/>
                <c:pt idx="0">
                  <c:v>3</c:v>
                </c:pt>
                <c:pt idx="1">
                  <c:v>4</c:v>
                </c:pt>
                <c:pt idx="2">
                  <c:v>1</c:v>
                </c:pt>
                <c:pt idx="3">
                  <c:v>1</c:v>
                </c:pt>
                <c:pt idx="4">
                  <c:v>2</c:v>
                </c:pt>
                <c:pt idx="5">
                  <c:v>4</c:v>
                </c:pt>
                <c:pt idx="6">
                  <c:v>6</c:v>
                </c:pt>
                <c:pt idx="7">
                  <c:v>1</c:v>
                </c:pt>
                <c:pt idx="8">
                  <c:v>4</c:v>
                </c:pt>
                <c:pt idx="9">
                  <c:v>1</c:v>
                </c:pt>
                <c:pt idx="10">
                  <c:v>1</c:v>
                </c:pt>
                <c:pt idx="11">
                  <c:v>1</c:v>
                </c:pt>
              </c:numCache>
            </c:numRef>
          </c:val>
          <c:smooth val="1"/>
          <c:extLst>
            <c:ext xmlns:c16="http://schemas.microsoft.com/office/drawing/2014/chart" uri="{C3380CC4-5D6E-409C-BE32-E72D297353CC}">
              <c16:uniqueId val="{00000002-019E-4F42-9830-697018E9E7FB}"/>
            </c:ext>
          </c:extLst>
        </c:ser>
        <c:ser>
          <c:idx val="4"/>
          <c:order val="4"/>
          <c:tx>
            <c:strRef>
              <c:f>Pivot_Tables!$X$3:$X$4</c:f>
              <c:strCache>
                <c:ptCount val="1"/>
                <c:pt idx="0">
                  <c:v>2021</c:v>
                </c:pt>
              </c:strCache>
            </c:strRef>
          </c:tx>
          <c:spPr>
            <a:ln w="28575" cap="rnd">
              <a:solidFill>
                <a:schemeClr val="accent5"/>
              </a:solidFill>
              <a:round/>
            </a:ln>
            <a:effectLst/>
          </c:spPr>
          <c:marker>
            <c:symbol val="none"/>
          </c:marker>
          <c:cat>
            <c:strRef>
              <c:f>Pivot_Tables!$S$5:$S$17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Pivot_Tables!$X$5:$X$17</c:f>
              <c:numCache>
                <c:formatCode>General</c:formatCode>
                <c:ptCount val="12"/>
                <c:pt idx="0">
                  <c:v>1</c:v>
                </c:pt>
                <c:pt idx="1">
                  <c:v>2</c:v>
                </c:pt>
                <c:pt idx="3">
                  <c:v>3</c:v>
                </c:pt>
                <c:pt idx="4">
                  <c:v>4</c:v>
                </c:pt>
                <c:pt idx="5">
                  <c:v>3</c:v>
                </c:pt>
                <c:pt idx="6">
                  <c:v>2</c:v>
                </c:pt>
                <c:pt idx="7">
                  <c:v>2</c:v>
                </c:pt>
                <c:pt idx="8">
                  <c:v>2</c:v>
                </c:pt>
                <c:pt idx="9">
                  <c:v>3</c:v>
                </c:pt>
                <c:pt idx="10">
                  <c:v>3</c:v>
                </c:pt>
                <c:pt idx="11">
                  <c:v>2</c:v>
                </c:pt>
              </c:numCache>
            </c:numRef>
          </c:val>
          <c:smooth val="1"/>
          <c:extLst>
            <c:ext xmlns:c16="http://schemas.microsoft.com/office/drawing/2014/chart" uri="{C3380CC4-5D6E-409C-BE32-E72D297353CC}">
              <c16:uniqueId val="{00000003-019E-4F42-9830-697018E9E7FB}"/>
            </c:ext>
          </c:extLst>
        </c:ser>
        <c:ser>
          <c:idx val="5"/>
          <c:order val="5"/>
          <c:tx>
            <c:strRef>
              <c:f>Pivot_Tables!$Y$3:$Y$4</c:f>
              <c:strCache>
                <c:ptCount val="1"/>
                <c:pt idx="0">
                  <c:v>2022</c:v>
                </c:pt>
              </c:strCache>
            </c:strRef>
          </c:tx>
          <c:spPr>
            <a:ln w="28575" cap="rnd">
              <a:solidFill>
                <a:schemeClr val="accent6"/>
              </a:solidFill>
              <a:round/>
            </a:ln>
            <a:effectLst/>
          </c:spPr>
          <c:marker>
            <c:symbol val="none"/>
          </c:marker>
          <c:cat>
            <c:strRef>
              <c:f>Pivot_Tables!$S$5:$S$17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Pivot_Tables!$Y$5:$Y$17</c:f>
              <c:numCache>
                <c:formatCode>General</c:formatCode>
                <c:ptCount val="12"/>
                <c:pt idx="0">
                  <c:v>1</c:v>
                </c:pt>
                <c:pt idx="1">
                  <c:v>3</c:v>
                </c:pt>
                <c:pt idx="2">
                  <c:v>4</c:v>
                </c:pt>
                <c:pt idx="3">
                  <c:v>1</c:v>
                </c:pt>
                <c:pt idx="4">
                  <c:v>3</c:v>
                </c:pt>
                <c:pt idx="6">
                  <c:v>2</c:v>
                </c:pt>
                <c:pt idx="7">
                  <c:v>2</c:v>
                </c:pt>
                <c:pt idx="8">
                  <c:v>2</c:v>
                </c:pt>
                <c:pt idx="9">
                  <c:v>1</c:v>
                </c:pt>
                <c:pt idx="10">
                  <c:v>2</c:v>
                </c:pt>
                <c:pt idx="11">
                  <c:v>2</c:v>
                </c:pt>
              </c:numCache>
            </c:numRef>
          </c:val>
          <c:smooth val="0"/>
          <c:extLst>
            <c:ext xmlns:c16="http://schemas.microsoft.com/office/drawing/2014/chart" uri="{C3380CC4-5D6E-409C-BE32-E72D297353CC}">
              <c16:uniqueId val="{00000001-B650-47FA-8736-202195934ADA}"/>
            </c:ext>
          </c:extLst>
        </c:ser>
        <c:ser>
          <c:idx val="6"/>
          <c:order val="6"/>
          <c:tx>
            <c:strRef>
              <c:f>Pivot_Tables!$Z$3:$Z$4</c:f>
              <c:strCache>
                <c:ptCount val="1"/>
                <c:pt idx="0">
                  <c:v>2023</c:v>
                </c:pt>
              </c:strCache>
            </c:strRef>
          </c:tx>
          <c:spPr>
            <a:ln w="28575" cap="rnd">
              <a:solidFill>
                <a:schemeClr val="accent1">
                  <a:lumMod val="60000"/>
                </a:schemeClr>
              </a:solidFill>
              <a:round/>
            </a:ln>
            <a:effectLst/>
          </c:spPr>
          <c:marker>
            <c:symbol val="none"/>
          </c:marker>
          <c:cat>
            <c:strRef>
              <c:f>Pivot_Tables!$S$5:$S$17</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Pivot_Tables!$Z$5:$Z$17</c:f>
              <c:numCache>
                <c:formatCode>General</c:formatCode>
                <c:ptCount val="12"/>
                <c:pt idx="0">
                  <c:v>6</c:v>
                </c:pt>
                <c:pt idx="1">
                  <c:v>4</c:v>
                </c:pt>
                <c:pt idx="2">
                  <c:v>4</c:v>
                </c:pt>
                <c:pt idx="3">
                  <c:v>2</c:v>
                </c:pt>
                <c:pt idx="4">
                  <c:v>3</c:v>
                </c:pt>
                <c:pt idx="5">
                  <c:v>1</c:v>
                </c:pt>
              </c:numCache>
            </c:numRef>
          </c:val>
          <c:smooth val="0"/>
          <c:extLst>
            <c:ext xmlns:c16="http://schemas.microsoft.com/office/drawing/2014/chart" uri="{C3380CC4-5D6E-409C-BE32-E72D297353CC}">
              <c16:uniqueId val="{00000002-B650-47FA-8736-202195934ADA}"/>
            </c:ext>
          </c:extLst>
        </c:ser>
        <c:dLbls>
          <c:showLegendKey val="0"/>
          <c:showVal val="0"/>
          <c:showCatName val="0"/>
          <c:showSerName val="0"/>
          <c:showPercent val="0"/>
          <c:showBubbleSize val="0"/>
        </c:dLbls>
        <c:smooth val="0"/>
        <c:axId val="1045243760"/>
        <c:axId val="1045249040"/>
      </c:lineChart>
      <c:catAx>
        <c:axId val="104524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045249040"/>
        <c:crosses val="autoZero"/>
        <c:auto val="1"/>
        <c:lblAlgn val="ctr"/>
        <c:lblOffset val="100"/>
        <c:noMultiLvlLbl val="0"/>
      </c:catAx>
      <c:valAx>
        <c:axId val="1045249040"/>
        <c:scaling>
          <c:orientation val="minMax"/>
        </c:scaling>
        <c:delete val="1"/>
        <c:axPos val="l"/>
        <c:numFmt formatCode="General" sourceLinked="1"/>
        <c:majorTickMark val="none"/>
        <c:minorTickMark val="none"/>
        <c:tickLblPos val="nextTo"/>
        <c:crossAx val="104524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Dataset.xlsx]Pivot_Tables!PivotTable19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lumMod val="85000"/>
                    <a:lumOff val="15000"/>
                  </a:schemeClr>
                </a:solidFill>
              </a:rPr>
              <a:t>Number of Employees in each Gender under the specified categories</a:t>
            </a:r>
          </a:p>
        </c:rich>
      </c:tx>
      <c:layout>
        <c:manualLayout>
          <c:xMode val="edge"/>
          <c:yMode val="edge"/>
          <c:x val="0.11185203087760234"/>
          <c:y val="3.339597656033176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horzOverflow="clip"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6000" tIns="0" rIns="3600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2.0999999999999998E-2"/>
                  <c:h val="4.9321149671105929E-2"/>
                </c:manualLayout>
              </c15:layout>
            </c:ext>
          </c:extLst>
        </c:dLbl>
      </c:pivotFmt>
      <c:pivotFmt>
        <c:idx val="7"/>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2"/>
          </a:solidFill>
          <a:ln>
            <a:noFill/>
          </a:ln>
          <a:effectLst/>
        </c:spP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horzOverflow="clip"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6000" tIns="0" rIns="3600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2.0999999999999998E-2"/>
                  <c:h val="4.9321149671105929E-2"/>
                </c:manualLayout>
              </c15:layout>
            </c:ext>
          </c:extLst>
        </c:dLbl>
      </c:pivotFmt>
      <c:pivotFmt>
        <c:idx val="20"/>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horzOverflow="clip"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2"/>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6000" tIns="0" rIns="3600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2.0999999999999998E-2"/>
                  <c:h val="4.9321149671105929E-2"/>
                </c:manualLayout>
              </c15:layout>
            </c:ext>
          </c:extLst>
        </c:dLbl>
      </c:pivotFmt>
      <c:pivotFmt>
        <c:idx val="23"/>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30680178021225601"/>
          <c:y val="0.14969692890952732"/>
          <c:w val="0.67501312335958008"/>
          <c:h val="0.83738071202638131"/>
        </c:manualLayout>
      </c:layout>
      <c:barChart>
        <c:barDir val="bar"/>
        <c:grouping val="clustered"/>
        <c:varyColors val="0"/>
        <c:ser>
          <c:idx val="0"/>
          <c:order val="0"/>
          <c:tx>
            <c:strRef>
              <c:f>Pivot_Tables!$AP$3:$AP$4</c:f>
              <c:strCache>
                <c:ptCount val="1"/>
                <c:pt idx="0">
                  <c:v>Female</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0-42BC-4C64-ADE5-471C0A0EC13E}"/>
              </c:ext>
            </c:extLst>
          </c:dPt>
          <c:dLbls>
            <c:dLbl>
              <c:idx val="5"/>
              <c:spPr>
                <a:solidFill>
                  <a:schemeClr val="accent1">
                    <a:lumMod val="60000"/>
                    <a:lumOff val="40000"/>
                  </a:schemeClr>
                </a:solidFill>
                <a:ln>
                  <a:noFill/>
                </a:ln>
                <a:effectLst/>
              </c:spPr>
              <c:txPr>
                <a:bodyPr rot="0" spcFirstLastPara="1" vertOverflow="ellipsis" vert="horz" wrap="square" lIns="36000" tIns="0" rIns="3600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2.0999999999999998E-2"/>
                      <c:h val="4.9321149671105929E-2"/>
                    </c:manualLayout>
                  </c15:layout>
                </c:ext>
                <c:ext xmlns:c16="http://schemas.microsoft.com/office/drawing/2014/chart" uri="{C3380CC4-5D6E-409C-BE32-E72D297353CC}">
                  <c16:uniqueId val="{00000000-42BC-4C64-ADE5-471C0A0EC13E}"/>
                </c:ext>
              </c:extLst>
            </c:dLbl>
            <c:spPr>
              <a:solidFill>
                <a:schemeClr val="accent1">
                  <a:lumMod val="60000"/>
                  <a:lumOff val="40000"/>
                </a:schemeClr>
              </a:solidFill>
              <a:ln>
                <a:noFill/>
              </a:ln>
              <a:effectLst/>
            </c:spPr>
            <c:txPr>
              <a:bodyPr rot="0" spcFirstLastPara="1" vertOverflow="ellipsis" horzOverflow="clip"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Pivot_Tables!$AO$5:$AO$20</c:f>
              <c:multiLvlStrCache>
                <c:ptCount val="11"/>
                <c:lvl>
                  <c:pt idx="0">
                    <c:v>Operational Roles</c:v>
                  </c:pt>
                  <c:pt idx="1">
                    <c:v>Specialized Roles</c:v>
                  </c:pt>
                  <c:pt idx="2">
                    <c:v>Support Roles</c:v>
                  </c:pt>
                  <c:pt idx="3">
                    <c:v>Operational Roles</c:v>
                  </c:pt>
                  <c:pt idx="4">
                    <c:v>Specialized Roles</c:v>
                  </c:pt>
                  <c:pt idx="5">
                    <c:v>Support Roles</c:v>
                  </c:pt>
                  <c:pt idx="6">
                    <c:v>Operational Roles</c:v>
                  </c:pt>
                  <c:pt idx="7">
                    <c:v>Specialized Roles</c:v>
                  </c:pt>
                  <c:pt idx="8">
                    <c:v>Support Roles</c:v>
                  </c:pt>
                  <c:pt idx="9">
                    <c:v>Operational Roles</c:v>
                  </c:pt>
                  <c:pt idx="10">
                    <c:v>Specialized Roles</c:v>
                  </c:pt>
                </c:lvl>
                <c:lvl>
                  <c:pt idx="0">
                    <c:v>Bachelor's Degree</c:v>
                  </c:pt>
                  <c:pt idx="3">
                    <c:v>Diploma</c:v>
                  </c:pt>
                  <c:pt idx="6">
                    <c:v>High School Diploma</c:v>
                  </c:pt>
                  <c:pt idx="9">
                    <c:v>Master's Degree</c:v>
                  </c:pt>
                </c:lvl>
              </c:multiLvlStrCache>
            </c:multiLvlStrRef>
          </c:cat>
          <c:val>
            <c:numRef>
              <c:f>Pivot_Tables!$AP$5:$AP$20</c:f>
              <c:numCache>
                <c:formatCode>0.00%</c:formatCode>
                <c:ptCount val="11"/>
                <c:pt idx="0">
                  <c:v>4.5454545454545456E-2</c:v>
                </c:pt>
                <c:pt idx="1">
                  <c:v>0.17045454545454544</c:v>
                </c:pt>
                <c:pt idx="2">
                  <c:v>2.2727272727272728E-2</c:v>
                </c:pt>
                <c:pt idx="3">
                  <c:v>0.14772727272727273</c:v>
                </c:pt>
                <c:pt idx="4">
                  <c:v>0.17045454545454544</c:v>
                </c:pt>
                <c:pt idx="5">
                  <c:v>1.1363636363636364E-2</c:v>
                </c:pt>
                <c:pt idx="6">
                  <c:v>3.4090909090909088E-2</c:v>
                </c:pt>
                <c:pt idx="7">
                  <c:v>0.17045454545454544</c:v>
                </c:pt>
                <c:pt idx="8">
                  <c:v>0.10227272727272728</c:v>
                </c:pt>
                <c:pt idx="9">
                  <c:v>0</c:v>
                </c:pt>
                <c:pt idx="10">
                  <c:v>0.125</c:v>
                </c:pt>
              </c:numCache>
            </c:numRef>
          </c:val>
          <c:extLst>
            <c:ext xmlns:c16="http://schemas.microsoft.com/office/drawing/2014/chart" uri="{C3380CC4-5D6E-409C-BE32-E72D297353CC}">
              <c16:uniqueId val="{00000001-42BC-4C64-ADE5-471C0A0EC13E}"/>
            </c:ext>
          </c:extLst>
        </c:ser>
        <c:ser>
          <c:idx val="1"/>
          <c:order val="1"/>
          <c:tx>
            <c:strRef>
              <c:f>Pivot_Tables!$AQ$3:$AQ$4</c:f>
              <c:strCache>
                <c:ptCount val="1"/>
                <c:pt idx="0">
                  <c:v>Male</c:v>
                </c:pt>
              </c:strCache>
            </c:strRef>
          </c:tx>
          <c:spPr>
            <a:solidFill>
              <a:schemeClr val="accent2"/>
            </a:solidFill>
            <a:ln>
              <a:noFill/>
            </a:ln>
            <a:effectLst/>
          </c:spPr>
          <c:invertIfNegative val="0"/>
          <c:dLbls>
            <c:spPr>
              <a:solidFill>
                <a:schemeClr val="accent2">
                  <a:lumMod val="60000"/>
                  <a:lumOff val="40000"/>
                </a:schemeClr>
              </a:solidFill>
              <a:ln>
                <a:noFill/>
              </a:ln>
              <a:effectLst/>
            </c:spPr>
            <c:txPr>
              <a:bodyPr rot="0" spcFirstLastPara="1" vertOverflow="overflow" horzOverflow="overflow" vert="horz" wrap="square" lIns="36000" tIns="0" rIns="36000" bIns="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multiLvlStrRef>
              <c:f>Pivot_Tables!$AO$5:$AO$20</c:f>
              <c:multiLvlStrCache>
                <c:ptCount val="11"/>
                <c:lvl>
                  <c:pt idx="0">
                    <c:v>Operational Roles</c:v>
                  </c:pt>
                  <c:pt idx="1">
                    <c:v>Specialized Roles</c:v>
                  </c:pt>
                  <c:pt idx="2">
                    <c:v>Support Roles</c:v>
                  </c:pt>
                  <c:pt idx="3">
                    <c:v>Operational Roles</c:v>
                  </c:pt>
                  <c:pt idx="4">
                    <c:v>Specialized Roles</c:v>
                  </c:pt>
                  <c:pt idx="5">
                    <c:v>Support Roles</c:v>
                  </c:pt>
                  <c:pt idx="6">
                    <c:v>Operational Roles</c:v>
                  </c:pt>
                  <c:pt idx="7">
                    <c:v>Specialized Roles</c:v>
                  </c:pt>
                  <c:pt idx="8">
                    <c:v>Support Roles</c:v>
                  </c:pt>
                  <c:pt idx="9">
                    <c:v>Operational Roles</c:v>
                  </c:pt>
                  <c:pt idx="10">
                    <c:v>Specialized Roles</c:v>
                  </c:pt>
                </c:lvl>
                <c:lvl>
                  <c:pt idx="0">
                    <c:v>Bachelor's Degree</c:v>
                  </c:pt>
                  <c:pt idx="3">
                    <c:v>Diploma</c:v>
                  </c:pt>
                  <c:pt idx="6">
                    <c:v>High School Diploma</c:v>
                  </c:pt>
                  <c:pt idx="9">
                    <c:v>Master's Degree</c:v>
                  </c:pt>
                </c:lvl>
              </c:multiLvlStrCache>
            </c:multiLvlStrRef>
          </c:cat>
          <c:val>
            <c:numRef>
              <c:f>Pivot_Tables!$AQ$5:$AQ$20</c:f>
              <c:numCache>
                <c:formatCode>0.00%</c:formatCode>
                <c:ptCount val="11"/>
                <c:pt idx="0">
                  <c:v>5.4794520547945202E-2</c:v>
                </c:pt>
                <c:pt idx="1">
                  <c:v>0.28767123287671231</c:v>
                </c:pt>
                <c:pt idx="2">
                  <c:v>4.1095890410958902E-2</c:v>
                </c:pt>
                <c:pt idx="3">
                  <c:v>4.1095890410958902E-2</c:v>
                </c:pt>
                <c:pt idx="4">
                  <c:v>8.2191780821917804E-2</c:v>
                </c:pt>
                <c:pt idx="5">
                  <c:v>4.1095890410958902E-2</c:v>
                </c:pt>
                <c:pt idx="6">
                  <c:v>9.5890410958904104E-2</c:v>
                </c:pt>
                <c:pt idx="7">
                  <c:v>5.4794520547945202E-2</c:v>
                </c:pt>
                <c:pt idx="8">
                  <c:v>5.4794520547945202E-2</c:v>
                </c:pt>
                <c:pt idx="9">
                  <c:v>5.4794520547945202E-2</c:v>
                </c:pt>
                <c:pt idx="10">
                  <c:v>0.19178082191780821</c:v>
                </c:pt>
              </c:numCache>
            </c:numRef>
          </c:val>
          <c:extLst>
            <c:ext xmlns:c16="http://schemas.microsoft.com/office/drawing/2014/chart" uri="{C3380CC4-5D6E-409C-BE32-E72D297353CC}">
              <c16:uniqueId val="{00000002-42BC-4C64-ADE5-471C0A0EC13E}"/>
            </c:ext>
          </c:extLst>
        </c:ser>
        <c:dLbls>
          <c:dLblPos val="inEnd"/>
          <c:showLegendKey val="0"/>
          <c:showVal val="1"/>
          <c:showCatName val="0"/>
          <c:showSerName val="0"/>
          <c:showPercent val="0"/>
          <c:showBubbleSize val="0"/>
        </c:dLbls>
        <c:gapWidth val="1"/>
        <c:overlap val="-13"/>
        <c:axId val="10887728"/>
        <c:axId val="10888208"/>
      </c:barChart>
      <c:catAx>
        <c:axId val="1088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0888208"/>
        <c:crosses val="autoZero"/>
        <c:auto val="1"/>
        <c:lblAlgn val="ctr"/>
        <c:lblOffset val="100"/>
        <c:noMultiLvlLbl val="0"/>
      </c:catAx>
      <c:valAx>
        <c:axId val="10888208"/>
        <c:scaling>
          <c:orientation val="minMax"/>
        </c:scaling>
        <c:delete val="1"/>
        <c:axPos val="b"/>
        <c:numFmt formatCode="0.00%" sourceLinked="1"/>
        <c:majorTickMark val="none"/>
        <c:minorTickMark val="none"/>
        <c:tickLblPos val="nextTo"/>
        <c:crossAx val="10887728"/>
        <c:crosses val="autoZero"/>
        <c:crossBetween val="between"/>
      </c:valAx>
      <c:spPr>
        <a:noFill/>
        <a:ln>
          <a:noFill/>
        </a:ln>
        <a:effectLst/>
      </c:spPr>
    </c:plotArea>
    <c:legend>
      <c:legendPos val="r"/>
      <c:layout>
        <c:manualLayout>
          <c:xMode val="edge"/>
          <c:yMode val="edge"/>
          <c:x val="0.85819006999125114"/>
          <c:y val="7.6645604484624638E-2"/>
          <c:w val="0.11958770778652668"/>
          <c:h val="0.138889860989598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Dataset.xlsx]Pivot_Tables!PivotTable18</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lumMod val="85000"/>
                    <a:lumOff val="15000"/>
                  </a:schemeClr>
                </a:solidFill>
              </a:rPr>
              <a:t>Number of Employees in each Salary range and the Total Salary in each range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Pivot_Tables!$AL$3</c:f>
              <c:strCache>
                <c:ptCount val="1"/>
                <c:pt idx="0">
                  <c:v>Count of ID (Employee Name)</c:v>
                </c:pt>
              </c:strCache>
            </c:strRef>
          </c:tx>
          <c:spPr>
            <a:solidFill>
              <a:schemeClr val="accent1"/>
            </a:solidFill>
            <a:ln>
              <a:noFill/>
            </a:ln>
            <a:effectLst/>
          </c:spPr>
          <c:invertIfNegative val="0"/>
          <c:cat>
            <c:strRef>
              <c:f>Pivot_Tables!$AK$4:$AK$8</c:f>
              <c:strCache>
                <c:ptCount val="4"/>
                <c:pt idx="0">
                  <c:v>Low</c:v>
                </c:pt>
                <c:pt idx="1">
                  <c:v>Very Low</c:v>
                </c:pt>
                <c:pt idx="2">
                  <c:v>Very High</c:v>
                </c:pt>
                <c:pt idx="3">
                  <c:v>High</c:v>
                </c:pt>
              </c:strCache>
            </c:strRef>
          </c:cat>
          <c:val>
            <c:numRef>
              <c:f>Pivot_Tables!$AL$4:$AL$8</c:f>
              <c:numCache>
                <c:formatCode>General</c:formatCode>
                <c:ptCount val="4"/>
                <c:pt idx="0">
                  <c:v>52</c:v>
                </c:pt>
                <c:pt idx="1">
                  <c:v>42</c:v>
                </c:pt>
                <c:pt idx="2">
                  <c:v>41</c:v>
                </c:pt>
                <c:pt idx="3">
                  <c:v>26</c:v>
                </c:pt>
              </c:numCache>
            </c:numRef>
          </c:val>
          <c:extLst>
            <c:ext xmlns:c16="http://schemas.microsoft.com/office/drawing/2014/chart" uri="{C3380CC4-5D6E-409C-BE32-E72D297353CC}">
              <c16:uniqueId val="{00000000-1746-4308-99E9-C2D18DA8CD39}"/>
            </c:ext>
          </c:extLst>
        </c:ser>
        <c:dLbls>
          <c:showLegendKey val="0"/>
          <c:showVal val="0"/>
          <c:showCatName val="0"/>
          <c:showSerName val="0"/>
          <c:showPercent val="0"/>
          <c:showBubbleSize val="0"/>
        </c:dLbls>
        <c:gapWidth val="19"/>
        <c:overlap val="-27"/>
        <c:axId val="15550944"/>
        <c:axId val="15567264"/>
      </c:barChart>
      <c:lineChart>
        <c:grouping val="standard"/>
        <c:varyColors val="0"/>
        <c:ser>
          <c:idx val="1"/>
          <c:order val="1"/>
          <c:tx>
            <c:strRef>
              <c:f>Pivot_Tables!$AM$3</c:f>
              <c:strCache>
                <c:ptCount val="1"/>
                <c:pt idx="0">
                  <c:v>Sum of Salary</c:v>
                </c:pt>
              </c:strCache>
            </c:strRef>
          </c:tx>
          <c:spPr>
            <a:ln w="28575" cap="rnd">
              <a:solidFill>
                <a:schemeClr val="accent2"/>
              </a:solidFill>
              <a:round/>
            </a:ln>
            <a:effectLst/>
          </c:spPr>
          <c:marker>
            <c:symbol val="none"/>
          </c:marker>
          <c:cat>
            <c:strRef>
              <c:f>Pivot_Tables!$AK$4:$AK$8</c:f>
              <c:strCache>
                <c:ptCount val="4"/>
                <c:pt idx="0">
                  <c:v>Low</c:v>
                </c:pt>
                <c:pt idx="1">
                  <c:v>Very Low</c:v>
                </c:pt>
                <c:pt idx="2">
                  <c:v>Very High</c:v>
                </c:pt>
                <c:pt idx="3">
                  <c:v>High</c:v>
                </c:pt>
              </c:strCache>
            </c:strRef>
          </c:cat>
          <c:val>
            <c:numRef>
              <c:f>Pivot_Tables!$AM$4:$AM$8</c:f>
              <c:numCache>
                <c:formatCode>"₦"#,##0</c:formatCode>
                <c:ptCount val="4"/>
                <c:pt idx="0">
                  <c:v>2475500</c:v>
                </c:pt>
                <c:pt idx="1">
                  <c:v>1485000</c:v>
                </c:pt>
                <c:pt idx="2">
                  <c:v>3224000</c:v>
                </c:pt>
                <c:pt idx="3">
                  <c:v>1546700</c:v>
                </c:pt>
              </c:numCache>
            </c:numRef>
          </c:val>
          <c:smooth val="1"/>
          <c:extLst>
            <c:ext xmlns:c16="http://schemas.microsoft.com/office/drawing/2014/chart" uri="{C3380CC4-5D6E-409C-BE32-E72D297353CC}">
              <c16:uniqueId val="{00000001-1746-4308-99E9-C2D18DA8CD39}"/>
            </c:ext>
          </c:extLst>
        </c:ser>
        <c:dLbls>
          <c:showLegendKey val="0"/>
          <c:showVal val="0"/>
          <c:showCatName val="0"/>
          <c:showSerName val="0"/>
          <c:showPercent val="0"/>
          <c:showBubbleSize val="0"/>
        </c:dLbls>
        <c:marker val="1"/>
        <c:smooth val="0"/>
        <c:axId val="15625344"/>
        <c:axId val="15557184"/>
      </c:lineChart>
      <c:catAx>
        <c:axId val="15550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5567264"/>
        <c:crosses val="autoZero"/>
        <c:auto val="1"/>
        <c:lblAlgn val="ctr"/>
        <c:lblOffset val="100"/>
        <c:noMultiLvlLbl val="0"/>
      </c:catAx>
      <c:valAx>
        <c:axId val="155672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550944"/>
        <c:crosses val="autoZero"/>
        <c:crossBetween val="between"/>
      </c:valAx>
      <c:valAx>
        <c:axId val="15557184"/>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625344"/>
        <c:crosses val="max"/>
        <c:crossBetween val="between"/>
      </c:valAx>
      <c:catAx>
        <c:axId val="15625344"/>
        <c:scaling>
          <c:orientation val="minMax"/>
        </c:scaling>
        <c:delete val="1"/>
        <c:axPos val="t"/>
        <c:numFmt formatCode="General" sourceLinked="1"/>
        <c:majorTickMark val="out"/>
        <c:minorTickMark val="none"/>
        <c:tickLblPos val="nextTo"/>
        <c:crossAx val="15557184"/>
        <c:crosses val="max"/>
        <c:auto val="1"/>
        <c:lblAlgn val="ctr"/>
        <c:lblOffset val="100"/>
        <c:noMultiLvlLbl val="0"/>
      </c:catAx>
      <c:spPr>
        <a:noFill/>
        <a:ln>
          <a:noFill/>
        </a:ln>
        <a:effectLst/>
      </c:spPr>
    </c:plotArea>
    <c:legend>
      <c:legendPos val="r"/>
      <c:layout>
        <c:manualLayout>
          <c:xMode val="edge"/>
          <c:yMode val="edge"/>
          <c:x val="0.70284645669291335"/>
          <c:y val="0.18463670302081805"/>
          <c:w val="0.28048687664041994"/>
          <c:h val="0.291927422115713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Dataset.xlsx]Pivot_Tables!PivotTable12</c:name>
    <c:fmtId val="14"/>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Number of Employees under each Job Category</a:t>
            </a:r>
          </a:p>
        </c:rich>
      </c:tx>
      <c:layout>
        <c:manualLayout>
          <c:xMode val="edge"/>
          <c:yMode val="edge"/>
          <c:x val="0.14863075461675504"/>
          <c:y val="1.2500000000000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circle"/>
          <c:size val="5"/>
          <c:spPr>
            <a:solidFill>
              <a:schemeClr val="accent1"/>
            </a:solidFill>
            <a:ln w="9525">
              <a:solidFill>
                <a:schemeClr val="accent1"/>
              </a:solidFill>
            </a:ln>
            <a:effectLst/>
          </c:spPr>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circle"/>
          <c:size val="5"/>
          <c:spPr>
            <a:solidFill>
              <a:schemeClr val="accent2"/>
            </a:solidFill>
            <a:ln w="9525">
              <a:solidFill>
                <a:schemeClr val="accent2"/>
              </a:solidFill>
            </a:ln>
            <a:effectLst/>
          </c:spPr>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tx2">
              <a:lumMod val="75000"/>
            </a:schemeClr>
          </a:solidFill>
          <a:ln>
            <a:noFill/>
          </a:ln>
          <a:effectLst/>
        </c:spPr>
        <c:marker>
          <c:symbol val="circle"/>
          <c:size val="5"/>
          <c:spPr>
            <a:solidFill>
              <a:schemeClr val="accent3"/>
            </a:solidFill>
            <a:ln w="9525">
              <a:solidFill>
                <a:schemeClr val="accent3"/>
              </a:solidFill>
            </a:ln>
            <a:effectLst/>
          </c:spPr>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tx2">
              <a:lumMod val="75000"/>
            </a:schemeClr>
          </a:solidFill>
          <a:ln>
            <a:noFill/>
          </a:ln>
          <a:effectLst/>
        </c:spPr>
        <c:marker>
          <c:symbol val="none"/>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2">
              <a:lumMod val="75000"/>
            </a:schemeClr>
          </a:solidFill>
          <a:ln>
            <a:noFill/>
          </a:ln>
          <a:effectLst/>
        </c:spPr>
        <c:marker>
          <c:symbol val="none"/>
        </c:marker>
        <c:dLbl>
          <c:idx val="0"/>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9080402059261"/>
          <c:y val="0.16813943569553805"/>
          <c:w val="0.60388846791198769"/>
          <c:h val="0.81154297900262462"/>
        </c:manualLayout>
      </c:layout>
      <c:barChart>
        <c:barDir val="bar"/>
        <c:grouping val="clustered"/>
        <c:varyColors val="0"/>
        <c:ser>
          <c:idx val="0"/>
          <c:order val="0"/>
          <c:tx>
            <c:strRef>
              <c:f>Pivot_Tables!$E$3:$E$4</c:f>
              <c:strCache>
                <c:ptCount val="1"/>
                <c:pt idx="0">
                  <c:v>Operational Roles</c:v>
                </c:pt>
              </c:strCache>
            </c:strRef>
          </c:tx>
          <c:spPr>
            <a:solidFill>
              <a:schemeClr val="accent1"/>
            </a:solidFill>
            <a:ln>
              <a:noFill/>
            </a:ln>
            <a:effectLst/>
          </c:spPr>
          <c:invertIfNegative val="0"/>
          <c:dLbls>
            <c:spPr>
              <a:solidFill>
                <a:schemeClr val="accent1">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Pivot_Tables!$D$5:$D$15</c:f>
              <c:strCache>
                <c:ptCount val="10"/>
                <c:pt idx="0">
                  <c:v>Packaging Associate</c:v>
                </c:pt>
                <c:pt idx="1">
                  <c:v>Production Operator</c:v>
                </c:pt>
                <c:pt idx="2">
                  <c:v>Sales Representative</c:v>
                </c:pt>
                <c:pt idx="3">
                  <c:v>Quality Control</c:v>
                </c:pt>
                <c:pt idx="4">
                  <c:v>Chocolatier</c:v>
                </c:pt>
                <c:pt idx="5">
                  <c:v>Research Analyst</c:v>
                </c:pt>
                <c:pt idx="6">
                  <c:v>Product Manager</c:v>
                </c:pt>
                <c:pt idx="7">
                  <c:v>Research Scientist</c:v>
                </c:pt>
                <c:pt idx="8">
                  <c:v>Marketing Specialist</c:v>
                </c:pt>
                <c:pt idx="9">
                  <c:v>Marketing Manager</c:v>
                </c:pt>
              </c:strCache>
            </c:strRef>
          </c:cat>
          <c:val>
            <c:numRef>
              <c:f>Pivot_Tables!$E$5:$E$15</c:f>
              <c:numCache>
                <c:formatCode>General</c:formatCode>
                <c:ptCount val="10"/>
                <c:pt idx="1">
                  <c:v>20</c:v>
                </c:pt>
                <c:pt idx="2">
                  <c:v>18</c:v>
                </c:pt>
              </c:numCache>
            </c:numRef>
          </c:val>
          <c:extLst>
            <c:ext xmlns:c16="http://schemas.microsoft.com/office/drawing/2014/chart" uri="{C3380CC4-5D6E-409C-BE32-E72D297353CC}">
              <c16:uniqueId val="{00000000-7186-4594-90A2-78C669352AEF}"/>
            </c:ext>
          </c:extLst>
        </c:ser>
        <c:ser>
          <c:idx val="1"/>
          <c:order val="1"/>
          <c:tx>
            <c:strRef>
              <c:f>Pivot_Tables!$F$3:$F$4</c:f>
              <c:strCache>
                <c:ptCount val="1"/>
                <c:pt idx="0">
                  <c:v>Specialized Roles</c:v>
                </c:pt>
              </c:strCache>
            </c:strRef>
          </c:tx>
          <c:spPr>
            <a:solidFill>
              <a:schemeClr val="accent2"/>
            </a:solidFill>
            <a:ln>
              <a:noFill/>
            </a:ln>
            <a:effectLst/>
          </c:spPr>
          <c:invertIfNegative val="0"/>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Pivot_Tables!$D$5:$D$15</c:f>
              <c:strCache>
                <c:ptCount val="10"/>
                <c:pt idx="0">
                  <c:v>Packaging Associate</c:v>
                </c:pt>
                <c:pt idx="1">
                  <c:v>Production Operator</c:v>
                </c:pt>
                <c:pt idx="2">
                  <c:v>Sales Representative</c:v>
                </c:pt>
                <c:pt idx="3">
                  <c:v>Quality Control</c:v>
                </c:pt>
                <c:pt idx="4">
                  <c:v>Chocolatier</c:v>
                </c:pt>
                <c:pt idx="5">
                  <c:v>Research Analyst</c:v>
                </c:pt>
                <c:pt idx="6">
                  <c:v>Product Manager</c:v>
                </c:pt>
                <c:pt idx="7">
                  <c:v>Research Scientist</c:v>
                </c:pt>
                <c:pt idx="8">
                  <c:v>Marketing Specialist</c:v>
                </c:pt>
                <c:pt idx="9">
                  <c:v>Marketing Manager</c:v>
                </c:pt>
              </c:strCache>
            </c:strRef>
          </c:cat>
          <c:val>
            <c:numRef>
              <c:f>Pivot_Tables!$F$5:$F$15</c:f>
              <c:numCache>
                <c:formatCode>General</c:formatCode>
                <c:ptCount val="10"/>
                <c:pt idx="3">
                  <c:v>17</c:v>
                </c:pt>
                <c:pt idx="4">
                  <c:v>17</c:v>
                </c:pt>
                <c:pt idx="5">
                  <c:v>16</c:v>
                </c:pt>
                <c:pt idx="6">
                  <c:v>16</c:v>
                </c:pt>
                <c:pt idx="7">
                  <c:v>15</c:v>
                </c:pt>
                <c:pt idx="8">
                  <c:v>10</c:v>
                </c:pt>
                <c:pt idx="9">
                  <c:v>10</c:v>
                </c:pt>
              </c:numCache>
            </c:numRef>
          </c:val>
          <c:extLst>
            <c:ext xmlns:c16="http://schemas.microsoft.com/office/drawing/2014/chart" uri="{C3380CC4-5D6E-409C-BE32-E72D297353CC}">
              <c16:uniqueId val="{00000001-92DA-45BC-9A82-148B32D7BCAA}"/>
            </c:ext>
          </c:extLst>
        </c:ser>
        <c:ser>
          <c:idx val="2"/>
          <c:order val="2"/>
          <c:tx>
            <c:strRef>
              <c:f>Pivot_Tables!$G$3:$G$4</c:f>
              <c:strCache>
                <c:ptCount val="1"/>
                <c:pt idx="0">
                  <c:v>Support Roles</c:v>
                </c:pt>
              </c:strCache>
            </c:strRef>
          </c:tx>
          <c:spPr>
            <a:solidFill>
              <a:schemeClr val="tx2">
                <a:lumMod val="75000"/>
              </a:schemeClr>
            </a:solidFill>
            <a:ln>
              <a:noFill/>
            </a:ln>
            <a:effectLst/>
          </c:spPr>
          <c:invertIfNegative val="0"/>
          <c:dLbls>
            <c:spPr>
              <a:solidFill>
                <a:schemeClr val="tx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Pivot_Tables!$D$5:$D$15</c:f>
              <c:strCache>
                <c:ptCount val="10"/>
                <c:pt idx="0">
                  <c:v>Packaging Associate</c:v>
                </c:pt>
                <c:pt idx="1">
                  <c:v>Production Operator</c:v>
                </c:pt>
                <c:pt idx="2">
                  <c:v>Sales Representative</c:v>
                </c:pt>
                <c:pt idx="3">
                  <c:v>Quality Control</c:v>
                </c:pt>
                <c:pt idx="4">
                  <c:v>Chocolatier</c:v>
                </c:pt>
                <c:pt idx="5">
                  <c:v>Research Analyst</c:v>
                </c:pt>
                <c:pt idx="6">
                  <c:v>Product Manager</c:v>
                </c:pt>
                <c:pt idx="7">
                  <c:v>Research Scientist</c:v>
                </c:pt>
                <c:pt idx="8">
                  <c:v>Marketing Specialist</c:v>
                </c:pt>
                <c:pt idx="9">
                  <c:v>Marketing Manager</c:v>
                </c:pt>
              </c:strCache>
            </c:strRef>
          </c:cat>
          <c:val>
            <c:numRef>
              <c:f>Pivot_Tables!$G$5:$G$15</c:f>
              <c:numCache>
                <c:formatCode>General</c:formatCode>
                <c:ptCount val="10"/>
                <c:pt idx="0">
                  <c:v>22</c:v>
                </c:pt>
              </c:numCache>
            </c:numRef>
          </c:val>
          <c:extLst>
            <c:ext xmlns:c16="http://schemas.microsoft.com/office/drawing/2014/chart" uri="{C3380CC4-5D6E-409C-BE32-E72D297353CC}">
              <c16:uniqueId val="{00000002-92DA-45BC-9A82-148B32D7BCAA}"/>
            </c:ext>
          </c:extLst>
        </c:ser>
        <c:dLbls>
          <c:dLblPos val="inEnd"/>
          <c:showLegendKey val="0"/>
          <c:showVal val="1"/>
          <c:showCatName val="0"/>
          <c:showSerName val="0"/>
          <c:showPercent val="0"/>
          <c:showBubbleSize val="0"/>
        </c:dLbls>
        <c:gapWidth val="0"/>
        <c:overlap val="95"/>
        <c:axId val="811778656"/>
        <c:axId val="811773376"/>
      </c:barChart>
      <c:catAx>
        <c:axId val="8117786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811773376"/>
        <c:crosses val="autoZero"/>
        <c:auto val="1"/>
        <c:lblAlgn val="ctr"/>
        <c:lblOffset val="100"/>
        <c:noMultiLvlLbl val="0"/>
      </c:catAx>
      <c:valAx>
        <c:axId val="811773376"/>
        <c:scaling>
          <c:orientation val="minMax"/>
        </c:scaling>
        <c:delete val="1"/>
        <c:axPos val="b"/>
        <c:numFmt formatCode="General" sourceLinked="1"/>
        <c:majorTickMark val="out"/>
        <c:minorTickMark val="none"/>
        <c:tickLblPos val="nextTo"/>
        <c:crossAx val="811778656"/>
        <c:crosses val="autoZero"/>
        <c:crossBetween val="between"/>
      </c:valAx>
      <c:spPr>
        <a:noFill/>
        <a:ln>
          <a:noFill/>
        </a:ln>
        <a:effectLst/>
      </c:spPr>
    </c:plotArea>
    <c:legend>
      <c:legendPos val="tr"/>
      <c:layout>
        <c:manualLayout>
          <c:xMode val="edge"/>
          <c:yMode val="edge"/>
          <c:x val="0.7712919397318706"/>
          <c:y val="0.14625000000000002"/>
          <c:w val="0.2287083955418853"/>
          <c:h val="0.3374941024824159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2">
                  <a:lumMod val="2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Dataset.xlsx]Pivot_Tables!PivotTable16</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lumMod val="85000"/>
                    <a:lumOff val="15000"/>
                  </a:schemeClr>
                </a:solidFill>
                <a:latin typeface="+mn-lt"/>
                <a:ea typeface="+mn-ea"/>
                <a:cs typeface="+mn-cs"/>
              </a:defRPr>
            </a:pPr>
            <a:r>
              <a:rPr lang="en-US" sz="1400" b="0" i="0" u="none" strike="noStrike" kern="1200" spc="0" baseline="0">
                <a:solidFill>
                  <a:schemeClr val="tx1">
                    <a:lumMod val="85000"/>
                    <a:lumOff val="15000"/>
                  </a:schemeClr>
                </a:solidFill>
              </a:rPr>
              <a:t>Number of Employees under each Staff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horzOverflow="clip" vert="horz" wrap="square" lIns="38100" tIns="19050" rIns="360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horzOverflow="clip" vert="horz" wrap="square" lIns="38100" tIns="19050" rIns="360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horzOverflow="clip" vert="horz" wrap="square" lIns="38100" tIns="19050" rIns="360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9230067148327316"/>
          <c:y val="0.2412527376152501"/>
          <c:w val="0.68226809503961949"/>
          <c:h val="0.7107903798503391"/>
        </c:manualLayout>
      </c:layout>
      <c:barChart>
        <c:barDir val="bar"/>
        <c:grouping val="clustered"/>
        <c:varyColors val="0"/>
        <c:ser>
          <c:idx val="0"/>
          <c:order val="0"/>
          <c:tx>
            <c:strRef>
              <c:f>Pivot_Tables!$Q$3</c:f>
              <c:strCache>
                <c:ptCount val="1"/>
                <c:pt idx="0">
                  <c:v>Total</c:v>
                </c:pt>
              </c:strCache>
            </c:strRef>
          </c:tx>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horzOverflow="clip" vert="horz" wrap="square" lIns="38100" tIns="19050" rIns="360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Pivot_Tables!$P$4:$P$8</c:f>
              <c:strCache>
                <c:ptCount val="4"/>
                <c:pt idx="0">
                  <c:v>Low Level Staff</c:v>
                </c:pt>
                <c:pt idx="1">
                  <c:v>Mid Level Staff</c:v>
                </c:pt>
                <c:pt idx="2">
                  <c:v>Entry Level Staff</c:v>
                </c:pt>
                <c:pt idx="3">
                  <c:v>Senior Staff</c:v>
                </c:pt>
              </c:strCache>
            </c:strRef>
          </c:cat>
          <c:val>
            <c:numRef>
              <c:f>Pivot_Tables!$Q$4:$Q$8</c:f>
              <c:numCache>
                <c:formatCode>General</c:formatCode>
                <c:ptCount val="4"/>
                <c:pt idx="0">
                  <c:v>79</c:v>
                </c:pt>
                <c:pt idx="1">
                  <c:v>52</c:v>
                </c:pt>
                <c:pt idx="2">
                  <c:v>20</c:v>
                </c:pt>
                <c:pt idx="3">
                  <c:v>10</c:v>
                </c:pt>
              </c:numCache>
            </c:numRef>
          </c:val>
          <c:extLst>
            <c:ext xmlns:c16="http://schemas.microsoft.com/office/drawing/2014/chart" uri="{C3380CC4-5D6E-409C-BE32-E72D297353CC}">
              <c16:uniqueId val="{00000000-C000-4ACE-BF22-DEF9EA6D3205}"/>
            </c:ext>
          </c:extLst>
        </c:ser>
        <c:dLbls>
          <c:dLblPos val="inEnd"/>
          <c:showLegendKey val="0"/>
          <c:showVal val="1"/>
          <c:showCatName val="0"/>
          <c:showSerName val="0"/>
          <c:showPercent val="0"/>
          <c:showBubbleSize val="0"/>
        </c:dLbls>
        <c:gapWidth val="11"/>
        <c:axId val="1045247120"/>
        <c:axId val="1045239920"/>
      </c:barChart>
      <c:catAx>
        <c:axId val="104524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045239920"/>
        <c:crosses val="autoZero"/>
        <c:auto val="1"/>
        <c:lblAlgn val="ctr"/>
        <c:lblOffset val="100"/>
        <c:noMultiLvlLbl val="0"/>
      </c:catAx>
      <c:valAx>
        <c:axId val="1045239920"/>
        <c:scaling>
          <c:orientation val="minMax"/>
        </c:scaling>
        <c:delete val="1"/>
        <c:axPos val="b"/>
        <c:numFmt formatCode="General" sourceLinked="1"/>
        <c:majorTickMark val="out"/>
        <c:minorTickMark val="none"/>
        <c:tickLblPos val="nextTo"/>
        <c:crossAx val="104524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Dataset.xlsx]Pivot_Tables!Tenure</c:name>
    <c:fmtId val="10"/>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a:solidFill>
                  <a:schemeClr val="tx1">
                    <a:lumMod val="85000"/>
                    <a:lumOff val="15000"/>
                  </a:schemeClr>
                </a:solidFill>
              </a:rPr>
              <a:t>Number</a:t>
            </a:r>
            <a:r>
              <a:rPr lang="en-US" baseline="0">
                <a:solidFill>
                  <a:schemeClr val="tx1">
                    <a:lumMod val="85000"/>
                    <a:lumOff val="15000"/>
                  </a:schemeClr>
                </a:solidFill>
              </a:rPr>
              <a:t> of Employees under each </a:t>
            </a:r>
            <a:r>
              <a:rPr lang="en-US">
                <a:solidFill>
                  <a:schemeClr val="tx1">
                    <a:lumMod val="85000"/>
                    <a:lumOff val="15000"/>
                  </a:schemeClr>
                </a:solidFill>
              </a:rPr>
              <a:t>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20889861885684E-2"/>
                  <c:h val="6.3693877806428337E-2"/>
                </c:manualLayout>
              </c15:layout>
            </c:ext>
          </c:extLst>
        </c:dLbl>
      </c:pivotFmt>
      <c:pivotFmt>
        <c:idx val="5"/>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6"/>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7"/>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8"/>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9"/>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0"/>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1"/>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3"/>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4"/>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5"/>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6"/>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20889861885684E-2"/>
                  <c:h val="6.3693877806428337E-2"/>
                </c:manualLayout>
              </c15:layout>
            </c:ext>
          </c:extLst>
        </c:dLbl>
      </c:pivotFmt>
      <c:pivotFmt>
        <c:idx val="17"/>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8"/>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19"/>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21"/>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22"/>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23"/>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24"/>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20889861885684E-2"/>
                  <c:h val="6.3693877806428337E-2"/>
                </c:manualLayout>
              </c15:layout>
            </c:ext>
          </c:extLst>
        </c:dLbl>
      </c:pivotFmt>
      <c:pivotFmt>
        <c:idx val="25"/>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
        <c:idx val="26"/>
        <c:spPr>
          <a:solidFill>
            <a:schemeClr val="accent1"/>
          </a:solidFill>
          <a:ln>
            <a:noFill/>
          </a:ln>
          <a:effectLst/>
        </c:spP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Lst>
        </c:dLbl>
      </c:pivotFmt>
    </c:pivotFmts>
    <c:plotArea>
      <c:layout>
        <c:manualLayout>
          <c:layoutTarget val="inner"/>
          <c:xMode val="edge"/>
          <c:yMode val="edge"/>
          <c:x val="5.0637958532695378E-2"/>
          <c:y val="0.18039063712386527"/>
          <c:w val="0.90716374269005851"/>
          <c:h val="0.70633056342080425"/>
        </c:manualLayout>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27F9-4E3A-9763-8550D70CA8CB}"/>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27F9-4E3A-9763-8550D70CA8CB}"/>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27F9-4E3A-9763-8550D70CA8CB}"/>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27F9-4E3A-9763-8550D70CA8CB}"/>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4-27F9-4E3A-9763-8550D70CA8CB}"/>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27F9-4E3A-9763-8550D70CA8CB}"/>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6-27F9-4E3A-9763-8550D70CA8CB}"/>
              </c:ext>
            </c:extLst>
          </c:dPt>
          <c:dLbls>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 xmlns:c16="http://schemas.microsoft.com/office/drawing/2014/chart" uri="{C3380CC4-5D6E-409C-BE32-E72D297353CC}">
                  <c16:uniqueId val="{00000000-27F9-4E3A-9763-8550D70CA8CB}"/>
                </c:ext>
              </c:extLst>
            </c:dLbl>
            <c:dLbl>
              <c:idx val="1"/>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 xmlns:c16="http://schemas.microsoft.com/office/drawing/2014/chart" uri="{C3380CC4-5D6E-409C-BE32-E72D297353CC}">
                  <c16:uniqueId val="{00000001-27F9-4E3A-9763-8550D70CA8CB}"/>
                </c:ext>
              </c:extLst>
            </c:dLbl>
            <c:dLbl>
              <c:idx val="2"/>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 xmlns:c16="http://schemas.microsoft.com/office/drawing/2014/chart" uri="{C3380CC4-5D6E-409C-BE32-E72D297353CC}">
                  <c16:uniqueId val="{00000002-27F9-4E3A-9763-8550D70CA8CB}"/>
                </c:ext>
              </c:extLst>
            </c:dLbl>
            <c:dLbl>
              <c:idx val="3"/>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 xmlns:c16="http://schemas.microsoft.com/office/drawing/2014/chart" uri="{C3380CC4-5D6E-409C-BE32-E72D297353CC}">
                  <c16:uniqueId val="{00000003-27F9-4E3A-9763-8550D70CA8CB}"/>
                </c:ext>
              </c:extLst>
            </c:dLbl>
            <c:dLbl>
              <c:idx val="4"/>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20889861885684E-2"/>
                      <c:h val="6.3693877806428337E-2"/>
                    </c:manualLayout>
                  </c15:layout>
                </c:ext>
                <c:ext xmlns:c16="http://schemas.microsoft.com/office/drawing/2014/chart" uri="{C3380CC4-5D6E-409C-BE32-E72D297353CC}">
                  <c16:uniqueId val="{00000004-27F9-4E3A-9763-8550D70CA8CB}"/>
                </c:ext>
              </c:extLst>
            </c:dLbl>
            <c:dLbl>
              <c:idx val="5"/>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 xmlns:c16="http://schemas.microsoft.com/office/drawing/2014/chart" uri="{C3380CC4-5D6E-409C-BE32-E72D297353CC}">
                  <c16:uniqueId val="{00000005-27F9-4E3A-9763-8550D70CA8CB}"/>
                </c:ext>
              </c:extLst>
            </c:dLbl>
            <c:dLbl>
              <c:idx val="6"/>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8.1491661675345758E-2"/>
                      <c:h val="6.1740612483562489E-2"/>
                    </c:manualLayout>
                  </c15:layout>
                </c:ext>
                <c:ext xmlns:c16="http://schemas.microsoft.com/office/drawing/2014/chart" uri="{C3380CC4-5D6E-409C-BE32-E72D297353CC}">
                  <c16:uniqueId val="{00000006-27F9-4E3A-9763-8550D70CA8CB}"/>
                </c:ext>
              </c:extLst>
            </c:dLbl>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Pivot_Tables!$A$4:$A$11</c:f>
              <c:strCache>
                <c:ptCount val="7"/>
                <c:pt idx="0">
                  <c:v>6years</c:v>
                </c:pt>
                <c:pt idx="1">
                  <c:v>4years</c:v>
                </c:pt>
                <c:pt idx="2">
                  <c:v>3years</c:v>
                </c:pt>
                <c:pt idx="3">
                  <c:v>7years</c:v>
                </c:pt>
                <c:pt idx="4">
                  <c:v>5years</c:v>
                </c:pt>
                <c:pt idx="5">
                  <c:v>8years</c:v>
                </c:pt>
                <c:pt idx="6">
                  <c:v>2years</c:v>
                </c:pt>
              </c:strCache>
            </c:strRef>
          </c:cat>
          <c:val>
            <c:numRef>
              <c:f>Pivot_Tables!$B$4:$B$11</c:f>
              <c:numCache>
                <c:formatCode>General</c:formatCode>
                <c:ptCount val="7"/>
                <c:pt idx="0">
                  <c:v>34</c:v>
                </c:pt>
                <c:pt idx="1">
                  <c:v>30</c:v>
                </c:pt>
                <c:pt idx="2">
                  <c:v>29</c:v>
                </c:pt>
                <c:pt idx="3">
                  <c:v>25</c:v>
                </c:pt>
                <c:pt idx="4">
                  <c:v>25</c:v>
                </c:pt>
                <c:pt idx="5">
                  <c:v>10</c:v>
                </c:pt>
                <c:pt idx="6">
                  <c:v>8</c:v>
                </c:pt>
              </c:numCache>
            </c:numRef>
          </c:val>
          <c:extLst>
            <c:ext xmlns:c16="http://schemas.microsoft.com/office/drawing/2014/chart" uri="{C3380CC4-5D6E-409C-BE32-E72D297353CC}">
              <c16:uniqueId val="{00000007-27F9-4E3A-9763-8550D70CA8CB}"/>
            </c:ext>
          </c:extLst>
        </c:ser>
        <c:dLbls>
          <c:dLblPos val="inEnd"/>
          <c:showLegendKey val="0"/>
          <c:showVal val="1"/>
          <c:showCatName val="0"/>
          <c:showSerName val="0"/>
          <c:showPercent val="0"/>
          <c:showBubbleSize val="0"/>
        </c:dLbls>
        <c:gapWidth val="13"/>
        <c:overlap val="-27"/>
        <c:axId val="811766176"/>
        <c:axId val="811769536"/>
      </c:barChart>
      <c:catAx>
        <c:axId val="811766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811769536"/>
        <c:crosses val="autoZero"/>
        <c:auto val="1"/>
        <c:lblAlgn val="ctr"/>
        <c:lblOffset val="100"/>
        <c:noMultiLvlLbl val="0"/>
      </c:catAx>
      <c:valAx>
        <c:axId val="811769536"/>
        <c:scaling>
          <c:orientation val="minMax"/>
        </c:scaling>
        <c:delete val="1"/>
        <c:axPos val="l"/>
        <c:numFmt formatCode="General" sourceLinked="1"/>
        <c:majorTickMark val="none"/>
        <c:minorTickMark val="none"/>
        <c:tickLblPos val="nextTo"/>
        <c:crossAx val="81176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sz="1400" b="0" i="0" u="none" strike="noStrike" kern="1200" spc="0" baseline="0">
                <a:solidFill>
                  <a:schemeClr val="tx1">
                    <a:lumMod val="85000"/>
                    <a:lumOff val="15000"/>
                  </a:schemeClr>
                </a:solidFill>
              </a:rPr>
              <a:t>Number of Employees under each Educational Qualification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Pivot_Tables!$N$3</c:f>
              <c:strCache>
                <c:ptCount val="1"/>
                <c:pt idx="0">
                  <c:v>Total</c:v>
                </c:pt>
              </c:strCache>
            </c:strRef>
          </c:tx>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Pivot_Tables!$M$4:$M$8</c:f>
              <c:strCache>
                <c:ptCount val="4"/>
                <c:pt idx="0">
                  <c:v>Bachelor's Degree</c:v>
                </c:pt>
                <c:pt idx="1">
                  <c:v>High School Diploma</c:v>
                </c:pt>
                <c:pt idx="2">
                  <c:v>Diploma</c:v>
                </c:pt>
                <c:pt idx="3">
                  <c:v>Master's Degree</c:v>
                </c:pt>
              </c:strCache>
            </c:strRef>
          </c:cat>
          <c:val>
            <c:numRef>
              <c:f>Pivot_Tables!$N$4:$N$8</c:f>
              <c:numCache>
                <c:formatCode>General</c:formatCode>
                <c:ptCount val="4"/>
                <c:pt idx="0">
                  <c:v>49</c:v>
                </c:pt>
                <c:pt idx="1">
                  <c:v>42</c:v>
                </c:pt>
                <c:pt idx="2">
                  <c:v>41</c:v>
                </c:pt>
                <c:pt idx="3">
                  <c:v>29</c:v>
                </c:pt>
              </c:numCache>
            </c:numRef>
          </c:val>
          <c:extLst>
            <c:ext xmlns:c16="http://schemas.microsoft.com/office/drawing/2014/chart" uri="{C3380CC4-5D6E-409C-BE32-E72D297353CC}">
              <c16:uniqueId val="{00000000-30EE-4941-BBFA-7E10CF59F661}"/>
            </c:ext>
          </c:extLst>
        </c:ser>
        <c:dLbls>
          <c:dLblPos val="inEnd"/>
          <c:showLegendKey val="0"/>
          <c:showVal val="1"/>
          <c:showCatName val="0"/>
          <c:showSerName val="0"/>
          <c:showPercent val="0"/>
          <c:showBubbleSize val="0"/>
        </c:dLbls>
        <c:gapWidth val="12"/>
        <c:axId val="1045205360"/>
        <c:axId val="1045216880"/>
      </c:barChart>
      <c:catAx>
        <c:axId val="104520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NG"/>
          </a:p>
        </c:txPr>
        <c:crossAx val="1045216880"/>
        <c:crosses val="autoZero"/>
        <c:auto val="1"/>
        <c:lblAlgn val="ctr"/>
        <c:lblOffset val="100"/>
        <c:noMultiLvlLbl val="0"/>
      </c:catAx>
      <c:valAx>
        <c:axId val="1045216880"/>
        <c:scaling>
          <c:orientation val="minMax"/>
        </c:scaling>
        <c:delete val="1"/>
        <c:axPos val="b"/>
        <c:numFmt formatCode="General" sourceLinked="1"/>
        <c:majorTickMark val="none"/>
        <c:minorTickMark val="none"/>
        <c:tickLblPos val="nextTo"/>
        <c:crossAx val="104520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[Adeptbloc Employee Dataset.xlsx]Pivot_Tables!PivotTable14</c:name>
    <c:fmtId val="14"/>
  </c:pivotSource>
  <c:chart>
    <c:title>
      <c:tx>
        <c:rich>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r>
              <a:rPr lang="en-US" sz="1400" b="0" i="0" u="none" strike="noStrike" kern="1200" spc="0" baseline="0">
                <a:solidFill>
                  <a:schemeClr val="tx1">
                    <a:lumMod val="85000"/>
                    <a:lumOff val="15000"/>
                  </a:schemeClr>
                </a:solidFill>
              </a:rPr>
              <a:t>Number of Employees in each Gender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85000"/>
                  <a:lumOff val="1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noFill/>
          </a:ln>
          <a:effectLst/>
        </c:spPr>
      </c:pivotFmt>
      <c:pivotFmt>
        <c:idx val="9"/>
        <c:spPr>
          <a:solidFill>
            <a:schemeClr val="accent1"/>
          </a:solidFill>
          <a:ln w="0">
            <a:noFill/>
          </a:ln>
          <a:effectLst/>
        </c:spPr>
      </c:pivotFmt>
      <c:pivotFmt>
        <c:idx val="10"/>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a:noFill/>
          </a:ln>
          <a:effectLst/>
        </c:spPr>
      </c:pivotFmt>
      <c:pivotFmt>
        <c:idx val="12"/>
        <c:spPr>
          <a:solidFill>
            <a:schemeClr val="accent1"/>
          </a:solidFill>
          <a:ln w="0">
            <a:noFill/>
          </a:ln>
          <a:effectLst/>
        </c:spPr>
      </c:pivotFmt>
      <c:pivotFmt>
        <c:idx val="13"/>
        <c:spPr>
          <a:solidFill>
            <a:schemeClr val="accent1"/>
          </a:solidFill>
          <a:ln w="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0">
            <a:noFill/>
          </a:ln>
          <a:effectLst/>
        </c:spPr>
      </c:pivotFmt>
      <c:pivotFmt>
        <c:idx val="15"/>
        <c:spPr>
          <a:solidFill>
            <a:schemeClr val="accent1"/>
          </a:solidFill>
          <a:ln w="0">
            <a:noFill/>
          </a:ln>
          <a:effectLst/>
        </c:spPr>
      </c:pivotFmt>
    </c:pivotFmts>
    <c:plotArea>
      <c:layout>
        <c:manualLayout>
          <c:layoutTarget val="inner"/>
          <c:xMode val="edge"/>
          <c:yMode val="edge"/>
          <c:x val="0.17053058241137581"/>
          <c:y val="0.24471069687717606"/>
          <c:w val="0.56117645104488523"/>
          <c:h val="0.72380309604156623"/>
        </c:manualLayout>
      </c:layout>
      <c:pieChart>
        <c:varyColors val="1"/>
        <c:ser>
          <c:idx val="0"/>
          <c:order val="0"/>
          <c:tx>
            <c:strRef>
              <c:f>Pivot_Tables!$K$3</c:f>
              <c:strCache>
                <c:ptCount val="1"/>
                <c:pt idx="0">
                  <c:v>Total</c:v>
                </c:pt>
              </c:strCache>
            </c:strRef>
          </c:tx>
          <c:spPr>
            <a:ln w="0">
              <a:noFill/>
            </a:ln>
          </c:spPr>
          <c:dPt>
            <c:idx val="0"/>
            <c:bubble3D val="0"/>
            <c:spPr>
              <a:solidFill>
                <a:schemeClr val="accent1"/>
              </a:solidFill>
              <a:ln w="0">
                <a:noFill/>
              </a:ln>
              <a:effectLst/>
            </c:spPr>
            <c:extLst>
              <c:ext xmlns:c16="http://schemas.microsoft.com/office/drawing/2014/chart" uri="{C3380CC4-5D6E-409C-BE32-E72D297353CC}">
                <c16:uniqueId val="{00000001-93E8-41F9-9939-BB0A11E3638D}"/>
              </c:ext>
            </c:extLst>
          </c:dPt>
          <c:dPt>
            <c:idx val="1"/>
            <c:bubble3D val="0"/>
            <c:spPr>
              <a:solidFill>
                <a:schemeClr val="accent2"/>
              </a:solidFill>
              <a:ln w="0">
                <a:noFill/>
              </a:ln>
              <a:effectLst/>
            </c:spPr>
            <c:extLst>
              <c:ext xmlns:c16="http://schemas.microsoft.com/office/drawing/2014/chart" uri="{C3380CC4-5D6E-409C-BE32-E72D297353CC}">
                <c16:uniqueId val="{00000003-93E8-41F9-9939-BB0A11E3638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Pivot_Tables!$J$4:$J$6</c:f>
              <c:strCache>
                <c:ptCount val="2"/>
                <c:pt idx="0">
                  <c:v>Female</c:v>
                </c:pt>
                <c:pt idx="1">
                  <c:v>Male</c:v>
                </c:pt>
              </c:strCache>
            </c:strRef>
          </c:cat>
          <c:val>
            <c:numRef>
              <c:f>Pivot_Tables!$K$4:$K$6</c:f>
              <c:numCache>
                <c:formatCode>General</c:formatCode>
                <c:ptCount val="2"/>
                <c:pt idx="0">
                  <c:v>88</c:v>
                </c:pt>
                <c:pt idx="1">
                  <c:v>73</c:v>
                </c:pt>
              </c:numCache>
            </c:numRef>
          </c:val>
          <c:extLst>
            <c:ext xmlns:c16="http://schemas.microsoft.com/office/drawing/2014/chart" uri="{C3380CC4-5D6E-409C-BE32-E72D297353CC}">
              <c16:uniqueId val="{00000004-93E8-41F9-9939-BB0A11E3638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Employee_Data!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hyperlink" Target="#Pivot_Tables!A1"/></Relationships>
</file>

<file path=xl/drawings/drawing1.xml><?xml version="1.0" encoding="utf-8"?>
<xdr:wsDr xmlns:xdr="http://schemas.openxmlformats.org/drawingml/2006/spreadsheetDrawing" xmlns:a="http://schemas.openxmlformats.org/drawingml/2006/main">
  <xdr:twoCellAnchor>
    <xdr:from>
      <xdr:col>1</xdr:col>
      <xdr:colOff>88446</xdr:colOff>
      <xdr:row>1</xdr:row>
      <xdr:rowOff>616</xdr:rowOff>
    </xdr:from>
    <xdr:to>
      <xdr:col>18</xdr:col>
      <xdr:colOff>388323</xdr:colOff>
      <xdr:row>60</xdr:row>
      <xdr:rowOff>9069</xdr:rowOff>
    </xdr:to>
    <xdr:grpSp>
      <xdr:nvGrpSpPr>
        <xdr:cNvPr id="12" name="Group 11">
          <a:extLst>
            <a:ext uri="{FF2B5EF4-FFF2-40B4-BE49-F238E27FC236}">
              <a16:creationId xmlns:a16="http://schemas.microsoft.com/office/drawing/2014/main" id="{94B0E128-CA9F-99EB-2C31-3C6D371CE236}"/>
            </a:ext>
          </a:extLst>
        </xdr:cNvPr>
        <xdr:cNvGrpSpPr/>
      </xdr:nvGrpSpPr>
      <xdr:grpSpPr>
        <a:xfrm>
          <a:off x="796017" y="163902"/>
          <a:ext cx="12328592" cy="9642310"/>
          <a:chOff x="796017" y="163902"/>
          <a:chExt cx="12328592" cy="9642310"/>
        </a:xfrm>
      </xdr:grpSpPr>
      <xdr:sp macro="" textlink="">
        <xdr:nvSpPr>
          <xdr:cNvPr id="15" name="Rectangle: Rounded Corners 14">
            <a:extLst>
              <a:ext uri="{FF2B5EF4-FFF2-40B4-BE49-F238E27FC236}">
                <a16:creationId xmlns:a16="http://schemas.microsoft.com/office/drawing/2014/main" id="{9DC3957E-ECDB-776D-D08B-245304E1AF74}"/>
              </a:ext>
            </a:extLst>
          </xdr:cNvPr>
          <xdr:cNvSpPr/>
        </xdr:nvSpPr>
        <xdr:spPr>
          <a:xfrm>
            <a:off x="796017" y="163902"/>
            <a:ext cx="12328592" cy="9642310"/>
          </a:xfrm>
          <a:custGeom>
            <a:avLst/>
            <a:gdLst>
              <a:gd name="csX0" fmla="*/ 0 w 12128500"/>
              <a:gd name="csY0" fmla="*/ 192289 h 9366250"/>
              <a:gd name="csX1" fmla="*/ 192289 w 12128500"/>
              <a:gd name="csY1" fmla="*/ 0 h 9366250"/>
              <a:gd name="csX2" fmla="*/ 11936211 w 12128500"/>
              <a:gd name="csY2" fmla="*/ 0 h 9366250"/>
              <a:gd name="csX3" fmla="*/ 12128500 w 12128500"/>
              <a:gd name="csY3" fmla="*/ 192289 h 9366250"/>
              <a:gd name="csX4" fmla="*/ 12128500 w 12128500"/>
              <a:gd name="csY4" fmla="*/ 9173961 h 9366250"/>
              <a:gd name="csX5" fmla="*/ 11936211 w 12128500"/>
              <a:gd name="csY5" fmla="*/ 9366250 h 9366250"/>
              <a:gd name="csX6" fmla="*/ 192289 w 12128500"/>
              <a:gd name="csY6" fmla="*/ 9366250 h 9366250"/>
              <a:gd name="csX7" fmla="*/ 0 w 12128500"/>
              <a:gd name="csY7" fmla="*/ 9173961 h 9366250"/>
              <a:gd name="csX8" fmla="*/ 0 w 12128500"/>
              <a:gd name="csY8" fmla="*/ 192289 h 9366250"/>
              <a:gd name="csX0" fmla="*/ 0 w 12186390"/>
              <a:gd name="csY0" fmla="*/ 192289 h 9366250"/>
              <a:gd name="csX1" fmla="*/ 192289 w 12186390"/>
              <a:gd name="csY1" fmla="*/ 0 h 9366250"/>
              <a:gd name="csX2" fmla="*/ 12142586 w 12186390"/>
              <a:gd name="csY2" fmla="*/ 0 h 9366250"/>
              <a:gd name="csX3" fmla="*/ 12128500 w 12186390"/>
              <a:gd name="csY3" fmla="*/ 192289 h 9366250"/>
              <a:gd name="csX4" fmla="*/ 12128500 w 12186390"/>
              <a:gd name="csY4" fmla="*/ 9173961 h 9366250"/>
              <a:gd name="csX5" fmla="*/ 11936211 w 12186390"/>
              <a:gd name="csY5" fmla="*/ 9366250 h 9366250"/>
              <a:gd name="csX6" fmla="*/ 192289 w 12186390"/>
              <a:gd name="csY6" fmla="*/ 9366250 h 9366250"/>
              <a:gd name="csX7" fmla="*/ 0 w 12186390"/>
              <a:gd name="csY7" fmla="*/ 9173961 h 9366250"/>
              <a:gd name="csX8" fmla="*/ 0 w 12186390"/>
              <a:gd name="csY8" fmla="*/ 192289 h 9366250"/>
              <a:gd name="csX0" fmla="*/ 0 w 12163094"/>
              <a:gd name="csY0" fmla="*/ 208164 h 9382125"/>
              <a:gd name="csX1" fmla="*/ 192289 w 12163094"/>
              <a:gd name="csY1" fmla="*/ 15875 h 9382125"/>
              <a:gd name="csX2" fmla="*/ 12110836 w 12163094"/>
              <a:gd name="csY2" fmla="*/ 0 h 9382125"/>
              <a:gd name="csX3" fmla="*/ 12128500 w 12163094"/>
              <a:gd name="csY3" fmla="*/ 208164 h 9382125"/>
              <a:gd name="csX4" fmla="*/ 12128500 w 12163094"/>
              <a:gd name="csY4" fmla="*/ 9189836 h 9382125"/>
              <a:gd name="csX5" fmla="*/ 11936211 w 12163094"/>
              <a:gd name="csY5" fmla="*/ 9382125 h 9382125"/>
              <a:gd name="csX6" fmla="*/ 192289 w 12163094"/>
              <a:gd name="csY6" fmla="*/ 9382125 h 9382125"/>
              <a:gd name="csX7" fmla="*/ 0 w 12163094"/>
              <a:gd name="csY7" fmla="*/ 9189836 h 9382125"/>
              <a:gd name="csX8" fmla="*/ 0 w 12163094"/>
              <a:gd name="csY8" fmla="*/ 208164 h 9382125"/>
              <a:gd name="csX0" fmla="*/ 0 w 12158503"/>
              <a:gd name="csY0" fmla="*/ 208164 h 9382125"/>
              <a:gd name="csX1" fmla="*/ 192289 w 12158503"/>
              <a:gd name="csY1" fmla="*/ 15875 h 9382125"/>
              <a:gd name="csX2" fmla="*/ 12110836 w 12158503"/>
              <a:gd name="csY2" fmla="*/ 0 h 9382125"/>
              <a:gd name="csX3" fmla="*/ 12112625 w 12158503"/>
              <a:gd name="csY3" fmla="*/ 112914 h 9382125"/>
              <a:gd name="csX4" fmla="*/ 12128500 w 12158503"/>
              <a:gd name="csY4" fmla="*/ 9189836 h 9382125"/>
              <a:gd name="csX5" fmla="*/ 11936211 w 12158503"/>
              <a:gd name="csY5" fmla="*/ 9382125 h 9382125"/>
              <a:gd name="csX6" fmla="*/ 192289 w 12158503"/>
              <a:gd name="csY6" fmla="*/ 9382125 h 9382125"/>
              <a:gd name="csX7" fmla="*/ 0 w 12158503"/>
              <a:gd name="csY7" fmla="*/ 9189836 h 9382125"/>
              <a:gd name="csX8" fmla="*/ 0 w 12158503"/>
              <a:gd name="csY8" fmla="*/ 208164 h 93821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158503" h="9382125">
                <a:moveTo>
                  <a:pt x="0" y="208164"/>
                </a:moveTo>
                <a:cubicBezTo>
                  <a:pt x="0" y="101966"/>
                  <a:pt x="86091" y="15875"/>
                  <a:pt x="192289" y="15875"/>
                </a:cubicBezTo>
                <a:lnTo>
                  <a:pt x="12110836" y="0"/>
                </a:lnTo>
                <a:cubicBezTo>
                  <a:pt x="12217034" y="0"/>
                  <a:pt x="12112625" y="6716"/>
                  <a:pt x="12112625" y="112914"/>
                </a:cubicBezTo>
                <a:cubicBezTo>
                  <a:pt x="12117917" y="3138555"/>
                  <a:pt x="12123208" y="6164195"/>
                  <a:pt x="12128500" y="9189836"/>
                </a:cubicBezTo>
                <a:cubicBezTo>
                  <a:pt x="12128500" y="9296034"/>
                  <a:pt x="12042409" y="9382125"/>
                  <a:pt x="11936211" y="9382125"/>
                </a:cubicBezTo>
                <a:lnTo>
                  <a:pt x="192289" y="9382125"/>
                </a:lnTo>
                <a:cubicBezTo>
                  <a:pt x="86091" y="9382125"/>
                  <a:pt x="0" y="9296034"/>
                  <a:pt x="0" y="9189836"/>
                </a:cubicBezTo>
                <a:lnTo>
                  <a:pt x="0" y="208164"/>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grpSp>
        <xdr:nvGrpSpPr>
          <xdr:cNvPr id="11" name="Group 10">
            <a:extLst>
              <a:ext uri="{FF2B5EF4-FFF2-40B4-BE49-F238E27FC236}">
                <a16:creationId xmlns:a16="http://schemas.microsoft.com/office/drawing/2014/main" id="{5B0B5D67-5CA4-C2A1-B011-BD422E86C12E}"/>
              </a:ext>
            </a:extLst>
          </xdr:cNvPr>
          <xdr:cNvGrpSpPr/>
        </xdr:nvGrpSpPr>
        <xdr:grpSpPr>
          <a:xfrm>
            <a:off x="863486" y="247748"/>
            <a:ext cx="12183496" cy="9495015"/>
            <a:chOff x="863486" y="247748"/>
            <a:chExt cx="12183496" cy="9495015"/>
          </a:xfrm>
        </xdr:grpSpPr>
        <xdr:grpSp>
          <xdr:nvGrpSpPr>
            <xdr:cNvPr id="68" name="Group 67">
              <a:extLst>
                <a:ext uri="{FF2B5EF4-FFF2-40B4-BE49-F238E27FC236}">
                  <a16:creationId xmlns:a16="http://schemas.microsoft.com/office/drawing/2014/main" id="{A8FADCC6-F767-CB18-E7EE-9C4DA60A2719}"/>
                </a:ext>
              </a:extLst>
            </xdr:cNvPr>
            <xdr:cNvGrpSpPr/>
          </xdr:nvGrpSpPr>
          <xdr:grpSpPr>
            <a:xfrm>
              <a:off x="4469948" y="247748"/>
              <a:ext cx="7057570" cy="2541716"/>
              <a:chOff x="6873876" y="222249"/>
              <a:chExt cx="7127874" cy="2428875"/>
            </a:xfrm>
          </xdr:grpSpPr>
          <xdr:sp macro="" textlink="">
            <xdr:nvSpPr>
              <xdr:cNvPr id="22" name="Rectangle 21">
                <a:extLst>
                  <a:ext uri="{FF2B5EF4-FFF2-40B4-BE49-F238E27FC236}">
                    <a16:creationId xmlns:a16="http://schemas.microsoft.com/office/drawing/2014/main" id="{09624BE1-9397-6275-EBA3-76CD4DA63BA6}"/>
                  </a:ext>
                </a:extLst>
              </xdr:cNvPr>
              <xdr:cNvSpPr/>
            </xdr:nvSpPr>
            <xdr:spPr>
              <a:xfrm>
                <a:off x="6873876" y="222249"/>
                <a:ext cx="7127874" cy="242887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46" name="Chart 45">
                <a:extLst>
                  <a:ext uri="{FF2B5EF4-FFF2-40B4-BE49-F238E27FC236}">
                    <a16:creationId xmlns:a16="http://schemas.microsoft.com/office/drawing/2014/main" id="{C757EA44-B217-4A9B-829C-EC75806DA115}"/>
                  </a:ext>
                </a:extLst>
              </xdr:cNvPr>
              <xdr:cNvGraphicFramePr>
                <a:graphicFrameLocks/>
              </xdr:cNvGraphicFramePr>
            </xdr:nvGraphicFramePr>
            <xdr:xfrm>
              <a:off x="6905627" y="253999"/>
              <a:ext cx="7048498" cy="2381249"/>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58" name="Group 57">
              <a:extLst>
                <a:ext uri="{FF2B5EF4-FFF2-40B4-BE49-F238E27FC236}">
                  <a16:creationId xmlns:a16="http://schemas.microsoft.com/office/drawing/2014/main" id="{52272836-E043-F25A-FEB2-25955A3C6BE9}"/>
                </a:ext>
              </a:extLst>
            </xdr:cNvPr>
            <xdr:cNvGrpSpPr/>
          </xdr:nvGrpSpPr>
          <xdr:grpSpPr>
            <a:xfrm>
              <a:off x="7567840" y="2814811"/>
              <a:ext cx="5479142" cy="3627595"/>
              <a:chOff x="9937750" y="2705099"/>
              <a:chExt cx="5397500" cy="3530601"/>
            </a:xfrm>
          </xdr:grpSpPr>
          <xdr:sp macro="" textlink="">
            <xdr:nvSpPr>
              <xdr:cNvPr id="24" name="Rectangle 23">
                <a:extLst>
                  <a:ext uri="{FF2B5EF4-FFF2-40B4-BE49-F238E27FC236}">
                    <a16:creationId xmlns:a16="http://schemas.microsoft.com/office/drawing/2014/main" id="{A45CF401-C91A-41E2-AE43-919822974226}"/>
                  </a:ext>
                </a:extLst>
              </xdr:cNvPr>
              <xdr:cNvSpPr/>
            </xdr:nvSpPr>
            <xdr:spPr>
              <a:xfrm>
                <a:off x="9937750" y="2705099"/>
                <a:ext cx="5397500" cy="3530601"/>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48" name="Chart 47">
                <a:extLst>
                  <a:ext uri="{FF2B5EF4-FFF2-40B4-BE49-F238E27FC236}">
                    <a16:creationId xmlns:a16="http://schemas.microsoft.com/office/drawing/2014/main" id="{7C0BF049-523E-476B-B0AA-6CD24F3DBADC}"/>
                  </a:ext>
                </a:extLst>
              </xdr:cNvPr>
              <xdr:cNvGraphicFramePr>
                <a:graphicFrameLocks/>
              </xdr:cNvGraphicFramePr>
            </xdr:nvGraphicFramePr>
            <xdr:xfrm>
              <a:off x="9969500" y="2730500"/>
              <a:ext cx="5333999" cy="346075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60" name="Group 59">
              <a:extLst>
                <a:ext uri="{FF2B5EF4-FFF2-40B4-BE49-F238E27FC236}">
                  <a16:creationId xmlns:a16="http://schemas.microsoft.com/office/drawing/2014/main" id="{4A828A81-B0B5-9A15-718F-ABD0A08ACE8C}"/>
                </a:ext>
              </a:extLst>
            </xdr:cNvPr>
            <xdr:cNvGrpSpPr/>
          </xdr:nvGrpSpPr>
          <xdr:grpSpPr>
            <a:xfrm>
              <a:off x="4469948" y="6479560"/>
              <a:ext cx="4624160" cy="3263202"/>
              <a:chOff x="6873876" y="6286501"/>
              <a:chExt cx="4572000" cy="3175000"/>
            </a:xfrm>
          </xdr:grpSpPr>
          <xdr:sp macro="" textlink="">
            <xdr:nvSpPr>
              <xdr:cNvPr id="29" name="Rectangle 28">
                <a:extLst>
                  <a:ext uri="{FF2B5EF4-FFF2-40B4-BE49-F238E27FC236}">
                    <a16:creationId xmlns:a16="http://schemas.microsoft.com/office/drawing/2014/main" id="{A9BB6DB3-349D-44BB-8697-33BE200F3357}"/>
                  </a:ext>
                </a:extLst>
              </xdr:cNvPr>
              <xdr:cNvSpPr/>
            </xdr:nvSpPr>
            <xdr:spPr>
              <a:xfrm>
                <a:off x="6873876" y="6286501"/>
                <a:ext cx="4572000" cy="31750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50" name="Chart 49">
                <a:extLst>
                  <a:ext uri="{FF2B5EF4-FFF2-40B4-BE49-F238E27FC236}">
                    <a16:creationId xmlns:a16="http://schemas.microsoft.com/office/drawing/2014/main" id="{0C170210-80FF-44AF-B4FA-7A66B41B7AF2}"/>
                  </a:ext>
                </a:extLst>
              </xdr:cNvPr>
              <xdr:cNvGraphicFramePr>
                <a:graphicFrameLocks/>
              </xdr:cNvGraphicFramePr>
            </xdr:nvGraphicFramePr>
            <xdr:xfrm>
              <a:off x="6905626" y="6365876"/>
              <a:ext cx="4508499" cy="3016249"/>
            </xdr:xfrm>
            <a:graphic>
              <a:graphicData uri="http://schemas.openxmlformats.org/drawingml/2006/chart">
                <c:chart xmlns:c="http://schemas.openxmlformats.org/drawingml/2006/chart" xmlns:r="http://schemas.openxmlformats.org/officeDocument/2006/relationships" r:id="rId3"/>
              </a:graphicData>
            </a:graphic>
          </xdr:graphicFrame>
        </xdr:grpSp>
        <xdr:grpSp>
          <xdr:nvGrpSpPr>
            <xdr:cNvPr id="61" name="Group 60">
              <a:extLst>
                <a:ext uri="{FF2B5EF4-FFF2-40B4-BE49-F238E27FC236}">
                  <a16:creationId xmlns:a16="http://schemas.microsoft.com/office/drawing/2014/main" id="{AF4DF571-A552-107A-E98C-DC325BB1436C}"/>
                </a:ext>
              </a:extLst>
            </xdr:cNvPr>
            <xdr:cNvGrpSpPr/>
          </xdr:nvGrpSpPr>
          <xdr:grpSpPr>
            <a:xfrm>
              <a:off x="9141732" y="6479560"/>
              <a:ext cx="3905250" cy="3263203"/>
              <a:chOff x="11493500" y="6286500"/>
              <a:chExt cx="3841750" cy="3175001"/>
            </a:xfrm>
          </xdr:grpSpPr>
          <xdr:sp macro="" textlink="">
            <xdr:nvSpPr>
              <xdr:cNvPr id="27" name="Rectangle: Diagonal Corners Rounded 26">
                <a:extLst>
                  <a:ext uri="{FF2B5EF4-FFF2-40B4-BE49-F238E27FC236}">
                    <a16:creationId xmlns:a16="http://schemas.microsoft.com/office/drawing/2014/main" id="{7D81F7DB-0836-4E6C-A347-659EB63EAB17}"/>
                  </a:ext>
                </a:extLst>
              </xdr:cNvPr>
              <xdr:cNvSpPr/>
            </xdr:nvSpPr>
            <xdr:spPr>
              <a:xfrm>
                <a:off x="11493500" y="6286500"/>
                <a:ext cx="3841750" cy="3175001"/>
              </a:xfrm>
              <a:custGeom>
                <a:avLst/>
                <a:gdLst>
                  <a:gd name="csX0" fmla="*/ 186793 w 3775075"/>
                  <a:gd name="csY0" fmla="*/ 0 h 3121026"/>
                  <a:gd name="csX1" fmla="*/ 3775075 w 3775075"/>
                  <a:gd name="csY1" fmla="*/ 0 h 3121026"/>
                  <a:gd name="csX2" fmla="*/ 3775075 w 3775075"/>
                  <a:gd name="csY2" fmla="*/ 0 h 3121026"/>
                  <a:gd name="csX3" fmla="*/ 3775075 w 3775075"/>
                  <a:gd name="csY3" fmla="*/ 2934233 h 3121026"/>
                  <a:gd name="csX4" fmla="*/ 3588282 w 3775075"/>
                  <a:gd name="csY4" fmla="*/ 3121026 h 3121026"/>
                  <a:gd name="csX5" fmla="*/ 0 w 3775075"/>
                  <a:gd name="csY5" fmla="*/ 3121026 h 3121026"/>
                  <a:gd name="csX6" fmla="*/ 0 w 3775075"/>
                  <a:gd name="csY6" fmla="*/ 3121026 h 3121026"/>
                  <a:gd name="csX7" fmla="*/ 0 w 3775075"/>
                  <a:gd name="csY7" fmla="*/ 186793 h 3121026"/>
                  <a:gd name="csX8" fmla="*/ 186793 w 3775075"/>
                  <a:gd name="csY8" fmla="*/ 0 h 3121026"/>
                  <a:gd name="csX0" fmla="*/ 91935 w 3775467"/>
                  <a:gd name="csY0" fmla="*/ 0 h 3136901"/>
                  <a:gd name="csX1" fmla="*/ 3775467 w 3775467"/>
                  <a:gd name="csY1" fmla="*/ 15875 h 3136901"/>
                  <a:gd name="csX2" fmla="*/ 3775467 w 3775467"/>
                  <a:gd name="csY2" fmla="*/ 15875 h 3136901"/>
                  <a:gd name="csX3" fmla="*/ 3775467 w 3775467"/>
                  <a:gd name="csY3" fmla="*/ 2950108 h 3136901"/>
                  <a:gd name="csX4" fmla="*/ 3588674 w 3775467"/>
                  <a:gd name="csY4" fmla="*/ 3136901 h 3136901"/>
                  <a:gd name="csX5" fmla="*/ 392 w 3775467"/>
                  <a:gd name="csY5" fmla="*/ 3136901 h 3136901"/>
                  <a:gd name="csX6" fmla="*/ 392 w 3775467"/>
                  <a:gd name="csY6" fmla="*/ 3136901 h 3136901"/>
                  <a:gd name="csX7" fmla="*/ 392 w 3775467"/>
                  <a:gd name="csY7" fmla="*/ 202668 h 3136901"/>
                  <a:gd name="csX8" fmla="*/ 91935 w 3775467"/>
                  <a:gd name="csY8" fmla="*/ 0 h 3136901"/>
                  <a:gd name="csX0" fmla="*/ 91935 w 3775467"/>
                  <a:gd name="csY0" fmla="*/ 0 h 3121026"/>
                  <a:gd name="csX1" fmla="*/ 3775467 w 3775467"/>
                  <a:gd name="csY1" fmla="*/ 0 h 3121026"/>
                  <a:gd name="csX2" fmla="*/ 3775467 w 3775467"/>
                  <a:gd name="csY2" fmla="*/ 0 h 3121026"/>
                  <a:gd name="csX3" fmla="*/ 3775467 w 3775467"/>
                  <a:gd name="csY3" fmla="*/ 2934233 h 3121026"/>
                  <a:gd name="csX4" fmla="*/ 3588674 w 3775467"/>
                  <a:gd name="csY4" fmla="*/ 3121026 h 3121026"/>
                  <a:gd name="csX5" fmla="*/ 392 w 3775467"/>
                  <a:gd name="csY5" fmla="*/ 3121026 h 3121026"/>
                  <a:gd name="csX6" fmla="*/ 392 w 3775467"/>
                  <a:gd name="csY6" fmla="*/ 3121026 h 3121026"/>
                  <a:gd name="csX7" fmla="*/ 392 w 3775467"/>
                  <a:gd name="csY7" fmla="*/ 186793 h 3121026"/>
                  <a:gd name="csX8" fmla="*/ 91935 w 3775467"/>
                  <a:gd name="csY8" fmla="*/ 0 h 3121026"/>
                  <a:gd name="csX0" fmla="*/ 91935 w 3775467"/>
                  <a:gd name="csY0" fmla="*/ 0 h 3121026"/>
                  <a:gd name="csX1" fmla="*/ 3775467 w 3775467"/>
                  <a:gd name="csY1" fmla="*/ 0 h 3121026"/>
                  <a:gd name="csX2" fmla="*/ 3775467 w 3775467"/>
                  <a:gd name="csY2" fmla="*/ 0 h 3121026"/>
                  <a:gd name="csX3" fmla="*/ 3775467 w 3775467"/>
                  <a:gd name="csY3" fmla="*/ 2934233 h 3121026"/>
                  <a:gd name="csX4" fmla="*/ 3588674 w 3775467"/>
                  <a:gd name="csY4" fmla="*/ 3121026 h 3121026"/>
                  <a:gd name="csX5" fmla="*/ 392 w 3775467"/>
                  <a:gd name="csY5" fmla="*/ 3121026 h 3121026"/>
                  <a:gd name="csX6" fmla="*/ 392 w 3775467"/>
                  <a:gd name="csY6" fmla="*/ 3121026 h 3121026"/>
                  <a:gd name="csX7" fmla="*/ 392 w 3775467"/>
                  <a:gd name="csY7" fmla="*/ 170918 h 3121026"/>
                  <a:gd name="csX8" fmla="*/ 91935 w 3775467"/>
                  <a:gd name="csY8" fmla="*/ 0 h 3121026"/>
                  <a:gd name="csX0" fmla="*/ 44908 w 3823690"/>
                  <a:gd name="csY0" fmla="*/ 0 h 3121026"/>
                  <a:gd name="csX1" fmla="*/ 3823690 w 3823690"/>
                  <a:gd name="csY1" fmla="*/ 0 h 3121026"/>
                  <a:gd name="csX2" fmla="*/ 3823690 w 3823690"/>
                  <a:gd name="csY2" fmla="*/ 0 h 3121026"/>
                  <a:gd name="csX3" fmla="*/ 3823690 w 3823690"/>
                  <a:gd name="csY3" fmla="*/ 2934233 h 3121026"/>
                  <a:gd name="csX4" fmla="*/ 3636897 w 3823690"/>
                  <a:gd name="csY4" fmla="*/ 3121026 h 3121026"/>
                  <a:gd name="csX5" fmla="*/ 48615 w 3823690"/>
                  <a:gd name="csY5" fmla="*/ 3121026 h 3121026"/>
                  <a:gd name="csX6" fmla="*/ 48615 w 3823690"/>
                  <a:gd name="csY6" fmla="*/ 3121026 h 3121026"/>
                  <a:gd name="csX7" fmla="*/ 48615 w 3823690"/>
                  <a:gd name="csY7" fmla="*/ 170918 h 3121026"/>
                  <a:gd name="csX8" fmla="*/ 44908 w 3823690"/>
                  <a:gd name="csY8" fmla="*/ 0 h 3121026"/>
                  <a:gd name="csX0" fmla="*/ 60849 w 3792006"/>
                  <a:gd name="csY0" fmla="*/ 0 h 3121026"/>
                  <a:gd name="csX1" fmla="*/ 3792006 w 3792006"/>
                  <a:gd name="csY1" fmla="*/ 0 h 3121026"/>
                  <a:gd name="csX2" fmla="*/ 3792006 w 3792006"/>
                  <a:gd name="csY2" fmla="*/ 0 h 3121026"/>
                  <a:gd name="csX3" fmla="*/ 3792006 w 3792006"/>
                  <a:gd name="csY3" fmla="*/ 2934233 h 3121026"/>
                  <a:gd name="csX4" fmla="*/ 3605213 w 3792006"/>
                  <a:gd name="csY4" fmla="*/ 3121026 h 3121026"/>
                  <a:gd name="csX5" fmla="*/ 16931 w 3792006"/>
                  <a:gd name="csY5" fmla="*/ 3121026 h 3121026"/>
                  <a:gd name="csX6" fmla="*/ 16931 w 3792006"/>
                  <a:gd name="csY6" fmla="*/ 3121026 h 3121026"/>
                  <a:gd name="csX7" fmla="*/ 16931 w 3792006"/>
                  <a:gd name="csY7" fmla="*/ 170918 h 3121026"/>
                  <a:gd name="csX8" fmla="*/ 60849 w 3792006"/>
                  <a:gd name="csY8" fmla="*/ 0 h 3121026"/>
                  <a:gd name="csX0" fmla="*/ 49233 w 3780390"/>
                  <a:gd name="csY0" fmla="*/ 392 h 3121418"/>
                  <a:gd name="csX1" fmla="*/ 3780390 w 3780390"/>
                  <a:gd name="csY1" fmla="*/ 392 h 3121418"/>
                  <a:gd name="csX2" fmla="*/ 3780390 w 3780390"/>
                  <a:gd name="csY2" fmla="*/ 392 h 3121418"/>
                  <a:gd name="csX3" fmla="*/ 3780390 w 3780390"/>
                  <a:gd name="csY3" fmla="*/ 2934625 h 3121418"/>
                  <a:gd name="csX4" fmla="*/ 3593597 w 3780390"/>
                  <a:gd name="csY4" fmla="*/ 3121418 h 3121418"/>
                  <a:gd name="csX5" fmla="*/ 5315 w 3780390"/>
                  <a:gd name="csY5" fmla="*/ 3121418 h 3121418"/>
                  <a:gd name="csX6" fmla="*/ 5315 w 3780390"/>
                  <a:gd name="csY6" fmla="*/ 3121418 h 3121418"/>
                  <a:gd name="csX7" fmla="*/ 37065 w 3780390"/>
                  <a:gd name="csY7" fmla="*/ 91935 h 3121418"/>
                  <a:gd name="csX8" fmla="*/ 49233 w 3780390"/>
                  <a:gd name="csY8" fmla="*/ 392 h 3121418"/>
                  <a:gd name="csX0" fmla="*/ 91543 w 3775075"/>
                  <a:gd name="csY0" fmla="*/ 392 h 3121418"/>
                  <a:gd name="csX1" fmla="*/ 3775075 w 3775075"/>
                  <a:gd name="csY1" fmla="*/ 392 h 3121418"/>
                  <a:gd name="csX2" fmla="*/ 3775075 w 3775075"/>
                  <a:gd name="csY2" fmla="*/ 392 h 3121418"/>
                  <a:gd name="csX3" fmla="*/ 3775075 w 3775075"/>
                  <a:gd name="csY3" fmla="*/ 2934625 h 3121418"/>
                  <a:gd name="csX4" fmla="*/ 3588282 w 3775075"/>
                  <a:gd name="csY4" fmla="*/ 3121418 h 3121418"/>
                  <a:gd name="csX5" fmla="*/ 0 w 3775075"/>
                  <a:gd name="csY5" fmla="*/ 3121418 h 3121418"/>
                  <a:gd name="csX6" fmla="*/ 0 w 3775075"/>
                  <a:gd name="csY6" fmla="*/ 3121418 h 3121418"/>
                  <a:gd name="csX7" fmla="*/ 31750 w 3775075"/>
                  <a:gd name="csY7" fmla="*/ 91935 h 3121418"/>
                  <a:gd name="csX8" fmla="*/ 91543 w 3775075"/>
                  <a:gd name="csY8" fmla="*/ 392 h 3121418"/>
                  <a:gd name="csX0" fmla="*/ 91543 w 3775075"/>
                  <a:gd name="csY0" fmla="*/ 392 h 3121418"/>
                  <a:gd name="csX1" fmla="*/ 3775075 w 3775075"/>
                  <a:gd name="csY1" fmla="*/ 392 h 3121418"/>
                  <a:gd name="csX2" fmla="*/ 3775075 w 3775075"/>
                  <a:gd name="csY2" fmla="*/ 392 h 3121418"/>
                  <a:gd name="csX3" fmla="*/ 3775075 w 3775075"/>
                  <a:gd name="csY3" fmla="*/ 2934625 h 3121418"/>
                  <a:gd name="csX4" fmla="*/ 3588282 w 3775075"/>
                  <a:gd name="csY4" fmla="*/ 3121418 h 3121418"/>
                  <a:gd name="csX5" fmla="*/ 0 w 3775075"/>
                  <a:gd name="csY5" fmla="*/ 3121418 h 3121418"/>
                  <a:gd name="csX6" fmla="*/ 0 w 3775075"/>
                  <a:gd name="csY6" fmla="*/ 3121418 h 3121418"/>
                  <a:gd name="csX7" fmla="*/ 31750 w 3775075"/>
                  <a:gd name="csY7" fmla="*/ 91935 h 3121418"/>
                  <a:gd name="csX8" fmla="*/ 91543 w 3775075"/>
                  <a:gd name="csY8" fmla="*/ 392 h 3121418"/>
                  <a:gd name="csX0" fmla="*/ 91543 w 3775075"/>
                  <a:gd name="csY0" fmla="*/ 0 h 3121026"/>
                  <a:gd name="csX1" fmla="*/ 3775075 w 3775075"/>
                  <a:gd name="csY1" fmla="*/ 0 h 3121026"/>
                  <a:gd name="csX2" fmla="*/ 3775075 w 3775075"/>
                  <a:gd name="csY2" fmla="*/ 0 h 3121026"/>
                  <a:gd name="csX3" fmla="*/ 3775075 w 3775075"/>
                  <a:gd name="csY3" fmla="*/ 2934233 h 3121026"/>
                  <a:gd name="csX4" fmla="*/ 3588282 w 3775075"/>
                  <a:gd name="csY4" fmla="*/ 3121026 h 3121026"/>
                  <a:gd name="csX5" fmla="*/ 0 w 3775075"/>
                  <a:gd name="csY5" fmla="*/ 3121026 h 3121026"/>
                  <a:gd name="csX6" fmla="*/ 0 w 3775075"/>
                  <a:gd name="csY6" fmla="*/ 3121026 h 3121026"/>
                  <a:gd name="csX7" fmla="*/ 31750 w 3775075"/>
                  <a:gd name="csY7" fmla="*/ 123293 h 3121026"/>
                  <a:gd name="csX8" fmla="*/ 91543 w 3775075"/>
                  <a:gd name="csY8" fmla="*/ 0 h 3121026"/>
                  <a:gd name="csX0" fmla="*/ 91935 w 3775467"/>
                  <a:gd name="csY0" fmla="*/ 392 h 3121418"/>
                  <a:gd name="csX1" fmla="*/ 3775467 w 3775467"/>
                  <a:gd name="csY1" fmla="*/ 392 h 3121418"/>
                  <a:gd name="csX2" fmla="*/ 3775467 w 3775467"/>
                  <a:gd name="csY2" fmla="*/ 392 h 3121418"/>
                  <a:gd name="csX3" fmla="*/ 3775467 w 3775467"/>
                  <a:gd name="csY3" fmla="*/ 2934625 h 3121418"/>
                  <a:gd name="csX4" fmla="*/ 3588674 w 3775467"/>
                  <a:gd name="csY4" fmla="*/ 3121418 h 3121418"/>
                  <a:gd name="csX5" fmla="*/ 392 w 3775467"/>
                  <a:gd name="csY5" fmla="*/ 3121418 h 3121418"/>
                  <a:gd name="csX6" fmla="*/ 392 w 3775467"/>
                  <a:gd name="csY6" fmla="*/ 3121418 h 3121418"/>
                  <a:gd name="csX7" fmla="*/ 392 w 3775467"/>
                  <a:gd name="csY7" fmla="*/ 91935 h 3121418"/>
                  <a:gd name="csX8" fmla="*/ 91935 w 3775467"/>
                  <a:gd name="csY8" fmla="*/ 392 h 312141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775467" h="3121418">
                    <a:moveTo>
                      <a:pt x="91935" y="392"/>
                    </a:moveTo>
                    <a:lnTo>
                      <a:pt x="3775467" y="392"/>
                    </a:lnTo>
                    <a:lnTo>
                      <a:pt x="3775467" y="392"/>
                    </a:lnTo>
                    <a:lnTo>
                      <a:pt x="3775467" y="2934625"/>
                    </a:lnTo>
                    <a:cubicBezTo>
                      <a:pt x="3775467" y="3037788"/>
                      <a:pt x="3691837" y="3121418"/>
                      <a:pt x="3588674" y="3121418"/>
                    </a:cubicBezTo>
                    <a:lnTo>
                      <a:pt x="392" y="3121418"/>
                    </a:lnTo>
                    <a:lnTo>
                      <a:pt x="392" y="3121418"/>
                    </a:lnTo>
                    <a:lnTo>
                      <a:pt x="392" y="91935"/>
                    </a:lnTo>
                    <a:cubicBezTo>
                      <a:pt x="392" y="-11228"/>
                      <a:pt x="-11228" y="392"/>
                      <a:pt x="91935" y="392"/>
                    </a:cubicBezTo>
                    <a:close/>
                  </a:path>
                </a:pathLst>
              </a:cu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51" name="Chart 50">
                <a:extLst>
                  <a:ext uri="{FF2B5EF4-FFF2-40B4-BE49-F238E27FC236}">
                    <a16:creationId xmlns:a16="http://schemas.microsoft.com/office/drawing/2014/main" id="{D7CEB741-0C49-46AD-94A2-145465E9BF19}"/>
                  </a:ext>
                </a:extLst>
              </xdr:cNvPr>
              <xdr:cNvGraphicFramePr>
                <a:graphicFrameLocks/>
              </xdr:cNvGraphicFramePr>
            </xdr:nvGraphicFramePr>
            <xdr:xfrm>
              <a:off x="11541125" y="6318251"/>
              <a:ext cx="3746500" cy="304800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62" name="Group 61">
              <a:extLst>
                <a:ext uri="{FF2B5EF4-FFF2-40B4-BE49-F238E27FC236}">
                  <a16:creationId xmlns:a16="http://schemas.microsoft.com/office/drawing/2014/main" id="{44350FAE-7580-DDD1-1053-231F19F4E838}"/>
                </a:ext>
              </a:extLst>
            </xdr:cNvPr>
            <xdr:cNvGrpSpPr/>
          </xdr:nvGrpSpPr>
          <xdr:grpSpPr>
            <a:xfrm>
              <a:off x="863486" y="7279496"/>
              <a:ext cx="3537403" cy="2463263"/>
              <a:chOff x="3327401" y="7064374"/>
              <a:chExt cx="3482974" cy="2397123"/>
            </a:xfrm>
          </xdr:grpSpPr>
          <xdr:sp macro="" textlink="">
            <xdr:nvSpPr>
              <xdr:cNvPr id="28" name="Rectangle: Single Corner Rounded 27">
                <a:extLst>
                  <a:ext uri="{FF2B5EF4-FFF2-40B4-BE49-F238E27FC236}">
                    <a16:creationId xmlns:a16="http://schemas.microsoft.com/office/drawing/2014/main" id="{2B007C8E-0E9D-60D1-0306-76D10BDA12E2}"/>
                  </a:ext>
                </a:extLst>
              </xdr:cNvPr>
              <xdr:cNvSpPr/>
            </xdr:nvSpPr>
            <xdr:spPr>
              <a:xfrm rot="10800000">
                <a:off x="3327401" y="7064374"/>
                <a:ext cx="3482974" cy="2397123"/>
              </a:xfrm>
              <a:prstGeom prst="round1Rect">
                <a:avLst>
                  <a:gd name="adj" fmla="val 562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52" name="Chart 51">
                <a:extLst>
                  <a:ext uri="{FF2B5EF4-FFF2-40B4-BE49-F238E27FC236}">
                    <a16:creationId xmlns:a16="http://schemas.microsoft.com/office/drawing/2014/main" id="{FF2E4A2D-53AA-447D-9B6F-29BA9820A051}"/>
                  </a:ext>
                </a:extLst>
              </xdr:cNvPr>
              <xdr:cNvGraphicFramePr>
                <a:graphicFrameLocks/>
              </xdr:cNvGraphicFramePr>
            </xdr:nvGraphicFramePr>
            <xdr:xfrm>
              <a:off x="3359150" y="7127875"/>
              <a:ext cx="3403599" cy="2270126"/>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59" name="Group 58">
              <a:extLst>
                <a:ext uri="{FF2B5EF4-FFF2-40B4-BE49-F238E27FC236}">
                  <a16:creationId xmlns:a16="http://schemas.microsoft.com/office/drawing/2014/main" id="{ED6F8E10-B682-C451-5DBF-5F5256D990D6}"/>
                </a:ext>
              </a:extLst>
            </xdr:cNvPr>
            <xdr:cNvGrpSpPr/>
          </xdr:nvGrpSpPr>
          <xdr:grpSpPr>
            <a:xfrm>
              <a:off x="4469948" y="2814811"/>
              <a:ext cx="3050267" cy="3627595"/>
              <a:chOff x="6873876" y="2705099"/>
              <a:chExt cx="3016249" cy="3530601"/>
            </a:xfrm>
          </xdr:grpSpPr>
          <xdr:sp macro="" textlink="">
            <xdr:nvSpPr>
              <xdr:cNvPr id="25" name="Rectangle 24">
                <a:extLst>
                  <a:ext uri="{FF2B5EF4-FFF2-40B4-BE49-F238E27FC236}">
                    <a16:creationId xmlns:a16="http://schemas.microsoft.com/office/drawing/2014/main" id="{F50A0635-0787-471A-A0E7-EC80D15214B5}"/>
                  </a:ext>
                </a:extLst>
              </xdr:cNvPr>
              <xdr:cNvSpPr/>
            </xdr:nvSpPr>
            <xdr:spPr>
              <a:xfrm>
                <a:off x="6873876" y="2705099"/>
                <a:ext cx="3016249" cy="3530601"/>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53" name="Chart 52">
                <a:extLst>
                  <a:ext uri="{FF2B5EF4-FFF2-40B4-BE49-F238E27FC236}">
                    <a16:creationId xmlns:a16="http://schemas.microsoft.com/office/drawing/2014/main" id="{0EDFD4AE-6F3A-4888-B49C-732C090DA015}"/>
                  </a:ext>
                </a:extLst>
              </xdr:cNvPr>
              <xdr:cNvGraphicFramePr>
                <a:graphicFrameLocks/>
              </xdr:cNvGraphicFramePr>
            </xdr:nvGraphicFramePr>
            <xdr:xfrm>
              <a:off x="6889750" y="2714625"/>
              <a:ext cx="2984499" cy="3492499"/>
            </xdr:xfrm>
            <a:graphic>
              <a:graphicData uri="http://schemas.openxmlformats.org/drawingml/2006/chart">
                <c:chart xmlns:c="http://schemas.openxmlformats.org/drawingml/2006/chart" xmlns:r="http://schemas.openxmlformats.org/officeDocument/2006/relationships" r:id="rId6"/>
              </a:graphicData>
            </a:graphic>
          </xdr:graphicFrame>
        </xdr:grpSp>
        <xdr:grpSp>
          <xdr:nvGrpSpPr>
            <xdr:cNvPr id="63" name="Group 62">
              <a:extLst>
                <a:ext uri="{FF2B5EF4-FFF2-40B4-BE49-F238E27FC236}">
                  <a16:creationId xmlns:a16="http://schemas.microsoft.com/office/drawing/2014/main" id="{750C3EBF-7FAF-49B3-4FFE-21FBF35BF43B}"/>
                </a:ext>
              </a:extLst>
            </xdr:cNvPr>
            <xdr:cNvGrpSpPr/>
          </xdr:nvGrpSpPr>
          <xdr:grpSpPr>
            <a:xfrm>
              <a:off x="863486" y="4489912"/>
              <a:ext cx="3537404" cy="2741996"/>
              <a:chOff x="3327400" y="4349750"/>
              <a:chExt cx="3482975" cy="2667000"/>
            </a:xfrm>
          </xdr:grpSpPr>
          <xdr:sp macro="" textlink="">
            <xdr:nvSpPr>
              <xdr:cNvPr id="26" name="Rectangle 25">
                <a:extLst>
                  <a:ext uri="{FF2B5EF4-FFF2-40B4-BE49-F238E27FC236}">
                    <a16:creationId xmlns:a16="http://schemas.microsoft.com/office/drawing/2014/main" id="{92699BEA-264D-4F33-84C8-12368A49861B}"/>
                  </a:ext>
                </a:extLst>
              </xdr:cNvPr>
              <xdr:cNvSpPr/>
            </xdr:nvSpPr>
            <xdr:spPr>
              <a:xfrm>
                <a:off x="3327400" y="4349750"/>
                <a:ext cx="3482975" cy="26670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54" name="Chart 53">
                <a:extLst>
                  <a:ext uri="{FF2B5EF4-FFF2-40B4-BE49-F238E27FC236}">
                    <a16:creationId xmlns:a16="http://schemas.microsoft.com/office/drawing/2014/main" id="{477A7924-05CB-49BC-A6AC-2A15A0C47BA3}"/>
                  </a:ext>
                </a:extLst>
              </xdr:cNvPr>
              <xdr:cNvGraphicFramePr>
                <a:graphicFrameLocks/>
              </xdr:cNvGraphicFramePr>
            </xdr:nvGraphicFramePr>
            <xdr:xfrm>
              <a:off x="3365500" y="4397375"/>
              <a:ext cx="3397250" cy="2571750"/>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72" name="Group 71">
              <a:extLst>
                <a:ext uri="{FF2B5EF4-FFF2-40B4-BE49-F238E27FC236}">
                  <a16:creationId xmlns:a16="http://schemas.microsoft.com/office/drawing/2014/main" id="{6774B163-4AE4-8A8E-1AF3-189F2BE40AE0}"/>
                </a:ext>
              </a:extLst>
            </xdr:cNvPr>
            <xdr:cNvGrpSpPr/>
          </xdr:nvGrpSpPr>
          <xdr:grpSpPr>
            <a:xfrm>
              <a:off x="863486" y="247749"/>
              <a:ext cx="3546929" cy="1615738"/>
              <a:chOff x="3321843" y="222250"/>
              <a:chExt cx="3492500" cy="1571625"/>
            </a:xfrm>
          </xdr:grpSpPr>
          <xdr:sp macro="" textlink="">
            <xdr:nvSpPr>
              <xdr:cNvPr id="16" name="Rectangle: Top Corners Rounded 15">
                <a:extLst>
                  <a:ext uri="{FF2B5EF4-FFF2-40B4-BE49-F238E27FC236}">
                    <a16:creationId xmlns:a16="http://schemas.microsoft.com/office/drawing/2014/main" id="{AFDD66D0-40A7-485C-76F5-E8118F00E9F4}"/>
                  </a:ext>
                </a:extLst>
              </xdr:cNvPr>
              <xdr:cNvSpPr/>
            </xdr:nvSpPr>
            <xdr:spPr>
              <a:xfrm>
                <a:off x="3321843" y="222250"/>
                <a:ext cx="3492000" cy="523875"/>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200" b="1"/>
                  <a:t>EMPLOYEE</a:t>
                </a:r>
                <a:r>
                  <a:rPr lang="en-US" sz="2200" b="1" baseline="0"/>
                  <a:t> DATA ANALYSIS</a:t>
                </a:r>
                <a:endParaRPr lang="en-NG" sz="2200" b="1"/>
              </a:p>
            </xdr:txBody>
          </xdr:sp>
          <xdr:sp macro="" textlink="">
            <xdr:nvSpPr>
              <xdr:cNvPr id="17" name="Rectangle 16">
                <a:hlinkClick xmlns:r="http://schemas.openxmlformats.org/officeDocument/2006/relationships" r:id="rId8"/>
                <a:extLst>
                  <a:ext uri="{FF2B5EF4-FFF2-40B4-BE49-F238E27FC236}">
                    <a16:creationId xmlns:a16="http://schemas.microsoft.com/office/drawing/2014/main" id="{7FD5186B-858B-63C7-AF11-378ACB9058E4}"/>
                  </a:ext>
                </a:extLst>
              </xdr:cNvPr>
              <xdr:cNvSpPr/>
            </xdr:nvSpPr>
            <xdr:spPr>
              <a:xfrm>
                <a:off x="3321843" y="814918"/>
                <a:ext cx="3492500" cy="407458"/>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t>EMPLOYEE DATA TABLE</a:t>
                </a:r>
                <a:endParaRPr lang="en-NG" sz="2000" b="1"/>
              </a:p>
            </xdr:txBody>
          </xdr:sp>
          <xdr:grpSp>
            <xdr:nvGrpSpPr>
              <xdr:cNvPr id="57" name="Group 56">
                <a:extLst>
                  <a:ext uri="{FF2B5EF4-FFF2-40B4-BE49-F238E27FC236}">
                    <a16:creationId xmlns:a16="http://schemas.microsoft.com/office/drawing/2014/main" id="{B7950FEF-9C09-AC22-9B9D-6BEFCC2E97D2}"/>
                  </a:ext>
                </a:extLst>
              </xdr:cNvPr>
              <xdr:cNvGrpSpPr/>
            </xdr:nvGrpSpPr>
            <xdr:grpSpPr>
              <a:xfrm>
                <a:off x="3321843" y="1285875"/>
                <a:ext cx="3492000" cy="508000"/>
                <a:chOff x="3318375" y="1285875"/>
                <a:chExt cx="3492000" cy="508000"/>
              </a:xfrm>
            </xdr:grpSpPr>
            <xdr:sp macro="" textlink="">
              <xdr:nvSpPr>
                <xdr:cNvPr id="20" name="Rectangle: Top Corners Rounded 19">
                  <a:extLst>
                    <a:ext uri="{FF2B5EF4-FFF2-40B4-BE49-F238E27FC236}">
                      <a16:creationId xmlns:a16="http://schemas.microsoft.com/office/drawing/2014/main" id="{859187F7-BB32-FDB1-D4F4-43DAC3C141AB}"/>
                    </a:ext>
                  </a:extLst>
                </xdr:cNvPr>
                <xdr:cNvSpPr/>
              </xdr:nvSpPr>
              <xdr:spPr>
                <a:xfrm rot="10800000">
                  <a:off x="3318375" y="1285875"/>
                  <a:ext cx="3492000" cy="508000"/>
                </a:xfrm>
                <a:prstGeom prst="round2Same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NG" sz="2000" b="1"/>
                </a:p>
              </xdr:txBody>
            </xdr:sp>
            <xdr:sp macro="" textlink="">
              <xdr:nvSpPr>
                <xdr:cNvPr id="56" name="TextBox 55">
                  <a:hlinkClick xmlns:r="http://schemas.openxmlformats.org/officeDocument/2006/relationships" r:id="rId9"/>
                  <a:extLst>
                    <a:ext uri="{FF2B5EF4-FFF2-40B4-BE49-F238E27FC236}">
                      <a16:creationId xmlns:a16="http://schemas.microsoft.com/office/drawing/2014/main" id="{48A5EB57-A9A5-1DDE-3F1E-4D3C94A41B24}"/>
                    </a:ext>
                  </a:extLst>
                </xdr:cNvPr>
                <xdr:cNvSpPr txBox="1"/>
              </xdr:nvSpPr>
              <xdr:spPr>
                <a:xfrm>
                  <a:off x="3413125" y="1349375"/>
                  <a:ext cx="3317875" cy="365125"/>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PIVOT TABLES</a:t>
                  </a:r>
                  <a:endParaRPr lang="en-NG" sz="2000" b="1"/>
                </a:p>
              </xdr:txBody>
            </xdr:sp>
          </xdr:grpSp>
        </xdr:grpSp>
        <xdr:grpSp>
          <xdr:nvGrpSpPr>
            <xdr:cNvPr id="66" name="Group 65">
              <a:extLst>
                <a:ext uri="{FF2B5EF4-FFF2-40B4-BE49-F238E27FC236}">
                  <a16:creationId xmlns:a16="http://schemas.microsoft.com/office/drawing/2014/main" id="{2AEE69DE-7ED0-033D-251A-CA65E5C2A00F}"/>
                </a:ext>
              </a:extLst>
            </xdr:cNvPr>
            <xdr:cNvGrpSpPr/>
          </xdr:nvGrpSpPr>
          <xdr:grpSpPr>
            <a:xfrm>
              <a:off x="863486" y="1926938"/>
              <a:ext cx="3531054" cy="2494991"/>
              <a:chOff x="3333749" y="1889124"/>
              <a:chExt cx="3476625" cy="2428875"/>
            </a:xfrm>
          </xdr:grpSpPr>
          <xdr:sp macro="" textlink="">
            <xdr:nvSpPr>
              <xdr:cNvPr id="64" name="Rectangle 63">
                <a:extLst>
                  <a:ext uri="{FF2B5EF4-FFF2-40B4-BE49-F238E27FC236}">
                    <a16:creationId xmlns:a16="http://schemas.microsoft.com/office/drawing/2014/main" id="{333EA6FE-70CE-3EBD-D18B-01C050A65DF3}"/>
                  </a:ext>
                </a:extLst>
              </xdr:cNvPr>
              <xdr:cNvSpPr/>
            </xdr:nvSpPr>
            <xdr:spPr>
              <a:xfrm>
                <a:off x="3333749" y="1889124"/>
                <a:ext cx="3476625" cy="242887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graphicFrame macro="">
            <xdr:nvGraphicFramePr>
              <xdr:cNvPr id="65" name="Chart 64">
                <a:extLst>
                  <a:ext uri="{FF2B5EF4-FFF2-40B4-BE49-F238E27FC236}">
                    <a16:creationId xmlns:a16="http://schemas.microsoft.com/office/drawing/2014/main" id="{932655A6-07C5-40A3-ADDE-DA92F9356724}"/>
                  </a:ext>
                </a:extLst>
              </xdr:cNvPr>
              <xdr:cNvGraphicFramePr>
                <a:graphicFrameLocks/>
              </xdr:cNvGraphicFramePr>
            </xdr:nvGraphicFramePr>
            <xdr:xfrm>
              <a:off x="3365499" y="1936750"/>
              <a:ext cx="3413126" cy="2317750"/>
            </xdr:xfrm>
            <a:graphic>
              <a:graphicData uri="http://schemas.openxmlformats.org/drawingml/2006/chart">
                <c:chart xmlns:c="http://schemas.openxmlformats.org/drawingml/2006/chart" xmlns:r="http://schemas.openxmlformats.org/officeDocument/2006/relationships" r:id="rId10"/>
              </a:graphicData>
            </a:graphic>
          </xdr:graphicFrame>
        </xdr:grpSp>
        <xdr:grpSp>
          <xdr:nvGrpSpPr>
            <xdr:cNvPr id="8" name="Group 7">
              <a:extLst>
                <a:ext uri="{FF2B5EF4-FFF2-40B4-BE49-F238E27FC236}">
                  <a16:creationId xmlns:a16="http://schemas.microsoft.com/office/drawing/2014/main" id="{74B9084D-A691-5DCC-D6AC-D673B2F14965}"/>
                </a:ext>
              </a:extLst>
            </xdr:cNvPr>
            <xdr:cNvGrpSpPr/>
          </xdr:nvGrpSpPr>
          <xdr:grpSpPr>
            <a:xfrm>
              <a:off x="11552464" y="247749"/>
              <a:ext cx="1494518" cy="1235430"/>
              <a:chOff x="11552464" y="247749"/>
              <a:chExt cx="1494518" cy="1235430"/>
            </a:xfrm>
          </xdr:grpSpPr>
          <xdr:sp macro="" textlink="">
            <xdr:nvSpPr>
              <xdr:cNvPr id="69" name="Rectangle: Single Corner Rounded 68">
                <a:extLst>
                  <a:ext uri="{FF2B5EF4-FFF2-40B4-BE49-F238E27FC236}">
                    <a16:creationId xmlns:a16="http://schemas.microsoft.com/office/drawing/2014/main" id="{32098255-3ACF-03DF-D3C5-024BB0AE8BA4}"/>
                  </a:ext>
                </a:extLst>
              </xdr:cNvPr>
              <xdr:cNvSpPr/>
            </xdr:nvSpPr>
            <xdr:spPr>
              <a:xfrm>
                <a:off x="11552464" y="247749"/>
                <a:ext cx="1494518" cy="123543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mc:AlternateContent xmlns:mc="http://schemas.openxmlformats.org/markup-compatibility/2006" xmlns:a14="http://schemas.microsoft.com/office/drawing/2010/main">
            <mc:Choice Requires="a14">
              <xdr:graphicFrame macro="">
                <xdr:nvGraphicFramePr>
                  <xdr:cNvPr id="3" name="Job Category">
                    <a:extLst>
                      <a:ext uri="{FF2B5EF4-FFF2-40B4-BE49-F238E27FC236}">
                        <a16:creationId xmlns:a16="http://schemas.microsoft.com/office/drawing/2014/main" id="{2A2E0B26-2F89-41F0-9B89-3792456E35BA}"/>
                      </a:ext>
                    </a:extLst>
                  </xdr:cNvPr>
                  <xdr:cNvGraphicFramePr/>
                </xdr:nvGraphicFramePr>
                <xdr:xfrm>
                  <a:off x="11566072" y="258536"/>
                  <a:ext cx="1442357" cy="1200261"/>
                </xdr:xfrm>
                <a:graphic>
                  <a:graphicData uri="http://schemas.microsoft.com/office/drawing/2010/slicer">
                    <sle:slicer xmlns:sle="http://schemas.microsoft.com/office/drawing/2010/slicer" name="Job Category"/>
                  </a:graphicData>
                </a:graphic>
              </xdr:graphicFrame>
            </mc:Choice>
            <mc:Fallback xmlns="">
              <xdr:sp macro="" textlink="">
                <xdr:nvSpPr>
                  <xdr:cNvPr id="0" name=""/>
                  <xdr:cNvSpPr>
                    <a:spLocks noTextEdit="1"/>
                  </xdr:cNvSpPr>
                </xdr:nvSpPr>
                <xdr:spPr>
                  <a:xfrm>
                    <a:off x="11566072" y="258536"/>
                    <a:ext cx="1442357" cy="120026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 name="Group 9">
              <a:extLst>
                <a:ext uri="{FF2B5EF4-FFF2-40B4-BE49-F238E27FC236}">
                  <a16:creationId xmlns:a16="http://schemas.microsoft.com/office/drawing/2014/main" id="{BC6AF478-CB58-309B-3AEA-F5F4B718876B}"/>
                </a:ext>
              </a:extLst>
            </xdr:cNvPr>
            <xdr:cNvGrpSpPr/>
          </xdr:nvGrpSpPr>
          <xdr:grpSpPr>
            <a:xfrm>
              <a:off x="11559267" y="1496786"/>
              <a:ext cx="1487714" cy="1292678"/>
              <a:chOff x="11559267" y="1496786"/>
              <a:chExt cx="1487714" cy="1292678"/>
            </a:xfrm>
          </xdr:grpSpPr>
          <xdr:sp macro="" textlink="">
            <xdr:nvSpPr>
              <xdr:cNvPr id="2" name="Rectangle: Single Corner Rounded 68">
                <a:extLst>
                  <a:ext uri="{FF2B5EF4-FFF2-40B4-BE49-F238E27FC236}">
                    <a16:creationId xmlns:a16="http://schemas.microsoft.com/office/drawing/2014/main" id="{B72189FC-27C9-4ACB-94DB-47A5E8AF4AD6}"/>
                  </a:ext>
                </a:extLst>
              </xdr:cNvPr>
              <xdr:cNvSpPr/>
            </xdr:nvSpPr>
            <xdr:spPr>
              <a:xfrm>
                <a:off x="11559267" y="1496786"/>
                <a:ext cx="1487714" cy="129267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mc:AlternateContent xmlns:mc="http://schemas.openxmlformats.org/markup-compatibility/2006" xmlns:a14="http://schemas.microsoft.com/office/drawing/2010/main">
            <mc:Choice Requires="a14">
              <xdr:graphicFrame macro="">
                <xdr:nvGraphicFramePr>
                  <xdr:cNvPr id="9" name="Age Range">
                    <a:extLst>
                      <a:ext uri="{FF2B5EF4-FFF2-40B4-BE49-F238E27FC236}">
                        <a16:creationId xmlns:a16="http://schemas.microsoft.com/office/drawing/2014/main" id="{F7FE28F9-DBD3-42A8-9767-DF38F124F788}"/>
                      </a:ext>
                    </a:extLst>
                  </xdr:cNvPr>
                  <xdr:cNvGraphicFramePr/>
                </xdr:nvGraphicFramePr>
                <xdr:xfrm>
                  <a:off x="11586480" y="1510391"/>
                  <a:ext cx="1435554" cy="1279071"/>
                </xdr:xfrm>
                <a:graphic>
                  <a:graphicData uri="http://schemas.microsoft.com/office/drawing/2010/slicer">
                    <sle:slicer xmlns:sle="http://schemas.microsoft.com/office/drawing/2010/slicer" name="Age Range"/>
                  </a:graphicData>
                </a:graphic>
              </xdr:graphicFrame>
            </mc:Choice>
            <mc:Fallback xmlns="">
              <xdr:sp macro="" textlink="">
                <xdr:nvSpPr>
                  <xdr:cNvPr id="0" name=""/>
                  <xdr:cNvSpPr>
                    <a:spLocks noTextEdit="1"/>
                  </xdr:cNvSpPr>
                </xdr:nvSpPr>
                <xdr:spPr>
                  <a:xfrm>
                    <a:off x="11586480" y="1510391"/>
                    <a:ext cx="1435554" cy="127907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hiremhen ukpebor" refreshedDate="46096.594076620371" createdVersion="8" refreshedVersion="8" minRefreshableVersion="3" recordCount="161" xr:uid="{80886E2E-0688-4A07-8A72-C2750838FBAD}">
  <cacheSource type="worksheet">
    <worksheetSource name="Employee_TableData"/>
  </cacheSource>
  <cacheFields count="23">
    <cacheField name="Employee ID" numFmtId="0">
      <sharedItems/>
    </cacheField>
    <cacheField name="Name" numFmtId="0">
      <sharedItems/>
    </cacheField>
    <cacheField name="Gender" numFmtId="0">
      <sharedItems count="2">
        <s v="Male"/>
        <s v="Female"/>
      </sharedItems>
    </cacheField>
    <cacheField name="Education Qualification" numFmtId="0">
      <sharedItems count="4">
        <s v="Bachelor's Degree"/>
        <s v="Diploma"/>
        <s v="High School Diploma"/>
        <s v="Master's Degree"/>
      </sharedItems>
    </cacheField>
    <cacheField name="Date of Join" numFmtId="14">
      <sharedItems containsSemiMixedTypes="0" containsNonDate="0" containsDate="1" containsString="0" minDate="2017-04-11T00:00:00" maxDate="2023-06-23T00:00:00" count="156">
        <d v="2020-06-12T00:00:00"/>
        <d v="2021-02-18T00:00:00"/>
        <d v="2022-09-05T00:00:00"/>
        <d v="2019-11-20T00:00:00"/>
        <d v="2018-04-08T00:00:00"/>
        <d v="2023-03-14T00:00:00"/>
        <d v="2022-01-02T00:00:00"/>
        <d v="2020-07-19T00:00:00"/>
        <d v="2021-11-10T00:00:00"/>
        <d v="2019-06-25T00:00:00"/>
        <d v="2022-08-04T00:00:00"/>
        <d v="2020-02-17T00:00:00"/>
        <d v="2021-10-30T00:00:00"/>
        <d v="2018-09-12T00:00:00"/>
        <d v="2019-03-05T00:00:00"/>
        <d v="2022-05-21T00:00:00"/>
        <d v="2021-08-08T00:00:00"/>
        <d v="2020-11-23T00:00:00"/>
        <d v="2017-07-15T00:00:00"/>
        <d v="2022-03-30T00:00:00"/>
        <d v="2019-09-04T00:00:00"/>
        <d v="2018-06-19T00:00:00"/>
        <d v="2021-01-07T00:00:00"/>
        <d v="2020-08-25T00:00:00"/>
        <d v="2023-02-12T00:00:00"/>
        <d v="2022-11-01T00:00:00"/>
        <d v="2019-04-16T00:00:00"/>
        <d v="2018-10-09T00:00:00"/>
        <d v="2023-05-26T00:00:00"/>
        <d v="2020-01-13T00:00:00"/>
        <d v="2018-07-27T00:00:00"/>
        <d v="2019-03-14T00:00:00"/>
        <d v="2022-09-28T00:00:00"/>
        <d v="2021-04-11T00:00:00"/>
        <d v="2020-01-26T00:00:00"/>
        <d v="2017-08-03T00:00:00"/>
        <d v="2023-03-19T00:00:00"/>
        <d v="2022-10-15T00:00:00"/>
        <d v="2019-06-10T00:00:00"/>
        <d v="2018-05-03T00:00:00"/>
        <d v="2021-09-29T00:00:00"/>
        <d v="2020-02-14T00:00:00"/>
        <d v="2023-01-01T00:00:00"/>
        <d v="2022-11-25T00:00:00"/>
        <d v="2020-04-09T00:00:00"/>
        <d v="2021-10-31T00:00:00"/>
        <d v="2018-08-14T00:00:00"/>
        <d v="2019-03-27T00:00:00"/>
        <d v="2022-07-12T00:00:00"/>
        <d v="2021-04-25T00:00:00"/>
        <d v="2020-09-08T00:00:00"/>
        <d v="2017-04-23T00:00:00"/>
        <d v="2023-02-14T00:00:00"/>
        <d v="2022-12-31T00:00:00"/>
        <d v="2019-06-15T00:00:00"/>
        <d v="2018-10-28T00:00:00"/>
        <d v="2021-12-13T00:00:00"/>
        <d v="2020-07-26T00:00:00"/>
        <d v="2023-06-22T00:00:00"/>
        <d v="2019-09-14T00:00:00"/>
        <d v="2018-04-06T00:00:00"/>
        <d v="2020-01-19T00:00:00"/>
        <d v="2022-07-04T00:00:00"/>
        <d v="2021-08-17T00:00:00"/>
        <d v="2018-12-10T00:00:00"/>
        <d v="2019-09-23T00:00:00"/>
        <d v="2022-02-15T00:00:00"/>
        <d v="2021-06-29T00:00:00"/>
        <d v="2020-03-22T00:00:00"/>
        <d v="2023-01-12T00:00:00"/>
        <d v="2019-06-05T00:00:00"/>
        <d v="2018-09-28T00:00:00"/>
        <d v="2017-04-11T00:00:00"/>
        <d v="2023-02-26T00:00:00"/>
        <d v="2020-07-15T00:00:00"/>
        <d v="2019-10-28T00:00:00"/>
        <d v="2022-04-13T00:00:00"/>
        <d v="2021-05-28T00:00:00"/>
        <d v="2020-06-21T00:00:00"/>
        <d v="2018-09-04T00:00:00"/>
        <d v="2019-08-20T00:00:00"/>
        <d v="2022-03-09T00:00:00"/>
        <d v="2021-12-22T00:00:00"/>
        <d v="2019-07-15T00:00:00"/>
        <d v="2023-04-27T00:00:00"/>
        <d v="2020-05-10T00:00:00"/>
        <d v="2021-02-03T00:00:00"/>
        <d v="2022-05-19T00:00:00"/>
        <d v="2019-08-14T00:00:00"/>
        <d v="2018-11-27T00:00:00"/>
        <d v="2017-06-10T00:00:00"/>
        <d v="2020-09-02T00:00:00"/>
        <d v="2019-07-17T00:00:00"/>
        <d v="2023-05-04T00:00:00"/>
        <d v="2021-10-28T00:00:00"/>
        <d v="2020-02-12T00:00:00"/>
        <d v="2019-05-27T00:00:00"/>
        <d v="2022-12-12T00:00:00"/>
        <d v="2021-04-26T00:00:00"/>
        <d v="2018-09-09T00:00:00"/>
        <d v="2017-10-31T00:00:00"/>
        <d v="2023-01-15T00:00:00"/>
        <d v="2020-06-28T00:00:00"/>
        <d v="2019-09-11T00:00:00"/>
        <d v="2022-03-04T00:00:00"/>
        <d v="2021-06-17T00:00:00"/>
        <d v="2018-11-30T00:00:00"/>
        <d v="2017-07-23T00:00:00"/>
        <d v="2023-05-11T00:00:00"/>
        <d v="2020-10-24T00:00:00"/>
        <d v="2019-04-15T00:00:00"/>
        <d v="2018-09-08T00:00:00"/>
        <d v="2021-11-29T00:00:00"/>
        <d v="2020-07-13T00:00:00"/>
        <d v="2019-03-28T00:00:00"/>
        <d v="2022-08-12T00:00:00"/>
        <d v="2021-05-25T00:00:00"/>
        <d v="2018-10-18T00:00:00"/>
        <d v="2017-05-11T00:00:00"/>
        <d v="2023-01-26T00:00:00"/>
        <d v="2020-07-09T00:00:00"/>
        <d v="2019-10-01T00:00:00"/>
        <d v="2022-02-14T00:00:00"/>
        <d v="2021-07-29T00:00:00"/>
        <d v="2018-11-21T00:00:00"/>
        <d v="2017-06-14T00:00:00"/>
        <d v="2023-01-07T00:00:00"/>
        <d v="2020-07-30T00:00:00"/>
        <d v="2019-12-23T00:00:00"/>
        <d v="2018-09-16T00:00:00"/>
        <d v="2022-02-07T00:00:00"/>
        <d v="2021-06-22T00:00:00"/>
        <d v="2020-09-15T00:00:00"/>
        <d v="2019-11-28T00:00:00"/>
        <d v="2021-05-05T00:00:00"/>
        <d v="2022-05-11T00:00:00"/>
        <d v="2021-09-24T00:00:00"/>
        <d v="2020-12-17T00:00:00"/>
        <d v="2023-02-08T00:00:00"/>
        <d v="2021-07-24T00:00:00"/>
        <d v="2019-11-17T00:00:00"/>
        <d v="2018-10-10T00:00:00"/>
        <d v="2020-02-03T00:00:00"/>
        <d v="2019-07-27T00:00:00"/>
        <d v="2021-11-20T00:00:00"/>
        <d v="2020-05-13T00:00:00"/>
        <d v="2019-08-06T00:00:00"/>
        <d v="2023-03-01T00:00:00"/>
        <d v="2020-09-17T00:00:00"/>
        <d v="2019-12-10T00:00:00"/>
        <d v="2018-11-03T00:00:00"/>
        <d v="2017-11-26T00:00:00"/>
        <d v="2023-04-09T00:00:00"/>
        <d v="2020-06-02T00:00:00"/>
        <d v="2019-08-26T00:00:00"/>
        <d v="2022-03-19T00:00:00"/>
      </sharedItems>
      <fieldGroup par="22"/>
    </cacheField>
    <cacheField name="Staff Level" numFmtId="0">
      <sharedItems count="4">
        <s v="Low Level Staff"/>
        <s v="Mid Level Staff"/>
        <s v="Entry Level Staff"/>
        <s v="Senior Staff"/>
      </sharedItems>
    </cacheField>
    <cacheField name="Job Title" numFmtId="0">
      <sharedItems count="10">
        <s v="Chocolatier"/>
        <s v="Production Operator"/>
        <s v="Packaging Associate"/>
        <s v="Marketing Specialist"/>
        <s v="Research Scientist"/>
        <s v="Sales Representative"/>
        <s v="Quality Control"/>
        <s v="Research Analyst"/>
        <s v="Product Manager"/>
        <s v="Marketing Manager"/>
      </sharedItems>
    </cacheField>
    <cacheField name="Salary" numFmtId="164">
      <sharedItems containsSemiMixedTypes="0" containsString="0" containsNumber="1" containsInteger="1" minValue="28900" maxValue="85000"/>
    </cacheField>
    <cacheField name="Salary Range" numFmtId="0">
      <sharedItems count="4">
        <s v="Low"/>
        <s v="Very Low"/>
        <s v="High"/>
        <s v="Very High"/>
      </sharedItems>
    </cacheField>
    <cacheField name="Age" numFmtId="0">
      <sharedItems containsSemiMixedTypes="0" containsString="0" containsNumber="1" containsInteger="1" minValue="24" maxValue="67"/>
    </cacheField>
    <cacheField name="Age Range" numFmtId="0">
      <sharedItems count="4">
        <s v="Early Career"/>
        <s v="Mid Career"/>
        <s v="Late Career"/>
        <s v="Pre-Retirement"/>
      </sharedItems>
    </cacheField>
    <cacheField name="Leave Balance" numFmtId="0">
      <sharedItems containsSemiMixedTypes="0" containsString="0" containsNumber="1" containsInteger="1" minValue="2" maxValue="37"/>
    </cacheField>
    <cacheField name="Leave Balance Range" numFmtId="0">
      <sharedItems/>
    </cacheField>
    <cacheField name="Today's Date" numFmtId="14">
      <sharedItems containsSemiMixedTypes="0" containsNonDate="0" containsDate="1" containsString="0" minDate="2026-03-15T00:00:00" maxDate="2026-03-16T00:00:00"/>
    </cacheField>
    <cacheField name="Tenure" numFmtId="0">
      <sharedItems count="7">
        <s v="5years"/>
        <s v="3years"/>
        <s v="6years"/>
        <s v="7years"/>
        <s v="4years"/>
        <s v="8years"/>
        <s v="2years"/>
      </sharedItems>
    </cacheField>
    <cacheField name="ID (Employee Name)" numFmtId="0">
      <sharedItems/>
    </cacheField>
    <cacheField name="Job Category" numFmtId="0">
      <sharedItems count="3">
        <s v="Specialized Roles"/>
        <s v="Operational Roles"/>
        <s v="Support Roles"/>
      </sharedItems>
    </cacheField>
    <cacheField name="Day of Join" numFmtId="0">
      <sharedItems containsSemiMixedTypes="0" containsString="0" containsNumber="1" containsInteger="1" minValue="1" maxValue="31"/>
    </cacheField>
    <cacheField name="Month of Join" numFmtId="0">
      <sharedItems/>
    </cacheField>
    <cacheField name="Year of Join" numFmtId="0">
      <sharedItems containsSemiMixedTypes="0" containsString="0" containsNumber="1" containsInteger="1" minValue="2017" maxValue="2023"/>
    </cacheField>
    <cacheField name="Months (Date of Join)" numFmtId="0" databaseField="0">
      <fieldGroup base="4">
        <rangePr groupBy="months" startDate="2017-04-11T00:00:00" endDate="2023-06-23T00:00:00"/>
        <groupItems count="14">
          <s v="&lt;11/04/2017"/>
          <s v="Jan"/>
          <s v="Feb"/>
          <s v="Mar"/>
          <s v="Apr"/>
          <s v="May"/>
          <s v="Jun"/>
          <s v="Jul"/>
          <s v="Aug"/>
          <s v="Sept"/>
          <s v="Oct"/>
          <s v="Nov"/>
          <s v="Dec"/>
          <s v="&gt;23/06/2023"/>
        </groupItems>
      </fieldGroup>
    </cacheField>
    <cacheField name="Quarters (Date of Join)" numFmtId="0" databaseField="0">
      <fieldGroup base="4">
        <rangePr groupBy="quarters" startDate="2017-04-11T00:00:00" endDate="2023-06-23T00:00:00"/>
        <groupItems count="6">
          <s v="&lt;11/04/2017"/>
          <s v="Qtr1"/>
          <s v="Qtr2"/>
          <s v="Qtr3"/>
          <s v="Qtr4"/>
          <s v="&gt;23/06/2023"/>
        </groupItems>
      </fieldGroup>
    </cacheField>
    <cacheField name="Years (Date of Join)" numFmtId="0" databaseField="0">
      <fieldGroup base="4">
        <rangePr groupBy="years" startDate="2017-04-11T00:00:00" endDate="2023-06-23T00:00:00"/>
        <groupItems count="9">
          <s v="&lt;11/04/2017"/>
          <s v="2017"/>
          <s v="2018"/>
          <s v="2019"/>
          <s v="2020"/>
          <s v="2021"/>
          <s v="2022"/>
          <s v="2023"/>
          <s v="&gt;23/06/2023"/>
        </groupItems>
      </fieldGroup>
    </cacheField>
  </cacheFields>
  <extLst>
    <ext xmlns:x14="http://schemas.microsoft.com/office/spreadsheetml/2009/9/main" uri="{725AE2AE-9491-48be-B2B4-4EB974FC3084}">
      <x14:pivotCacheDefinition pivotCacheId="1603168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s v="ADPT0001"/>
    <s v="Barr Faughny"/>
    <x v="0"/>
    <x v="0"/>
    <x v="0"/>
    <x v="0"/>
    <x v="0"/>
    <n v="51300"/>
    <x v="0"/>
    <n v="26"/>
    <x v="0"/>
    <n v="13"/>
    <s v="Low"/>
    <d v="2026-03-15T00:00:00"/>
    <x v="0"/>
    <s v="ADPT0001 | Barr Faughny"/>
    <x v="0"/>
    <n v="12"/>
    <s v="Jun"/>
    <n v="2020"/>
  </r>
  <r>
    <s v="ADPT0002"/>
    <s v="Dennison Crosswaite"/>
    <x v="1"/>
    <x v="1"/>
    <x v="1"/>
    <x v="0"/>
    <x v="1"/>
    <n v="38300"/>
    <x v="1"/>
    <n v="33"/>
    <x v="0"/>
    <n v="12"/>
    <s v="Low"/>
    <d v="2026-03-15T00:00:00"/>
    <x v="0"/>
    <s v="ADPT0002 | Dennison Crosswaite"/>
    <x v="1"/>
    <n v="18"/>
    <s v="Feb"/>
    <n v="2021"/>
  </r>
  <r>
    <s v="ADPT0003"/>
    <s v="Gunar Cockshoot"/>
    <x v="0"/>
    <x v="2"/>
    <x v="2"/>
    <x v="0"/>
    <x v="2"/>
    <n v="31400"/>
    <x v="1"/>
    <n v="34"/>
    <x v="0"/>
    <n v="16"/>
    <s v="Low"/>
    <d v="2026-03-15T00:00:00"/>
    <x v="1"/>
    <s v="ADPT0003 | Gunar Cockshoot"/>
    <x v="2"/>
    <n v="5"/>
    <s v="Sept"/>
    <n v="2022"/>
  </r>
  <r>
    <s v="ADPT0004"/>
    <s v="Wilone O'Kielt"/>
    <x v="1"/>
    <x v="0"/>
    <x v="3"/>
    <x v="1"/>
    <x v="3"/>
    <n v="60700"/>
    <x v="2"/>
    <n v="30"/>
    <x v="0"/>
    <n v="21"/>
    <s v="High"/>
    <d v="2026-03-15T00:00:00"/>
    <x v="2"/>
    <s v="ADPT0004 | Wilone O'Kielt"/>
    <x v="0"/>
    <n v="20"/>
    <s v="Nov"/>
    <n v="2019"/>
  </r>
  <r>
    <s v="ADPT0005"/>
    <s v="Gigi Bohling"/>
    <x v="0"/>
    <x v="3"/>
    <x v="4"/>
    <x v="1"/>
    <x v="4"/>
    <n v="77300"/>
    <x v="3"/>
    <n v="30"/>
    <x v="0"/>
    <n v="23"/>
    <s v="High"/>
    <d v="2026-03-15T00:00:00"/>
    <x v="3"/>
    <s v="ADPT0005 | Gigi Bohling"/>
    <x v="0"/>
    <n v="8"/>
    <s v="Apr"/>
    <n v="2018"/>
  </r>
  <r>
    <s v="ADPT0006"/>
    <s v="Curtice Advani"/>
    <x v="1"/>
    <x v="0"/>
    <x v="5"/>
    <x v="2"/>
    <x v="5"/>
    <n v="49800"/>
    <x v="0"/>
    <n v="38"/>
    <x v="1"/>
    <n v="23"/>
    <s v="High"/>
    <d v="2026-03-15T00:00:00"/>
    <x v="1"/>
    <s v="ADPT0006 | Curtice Advani"/>
    <x v="1"/>
    <n v="14"/>
    <s v="Mar"/>
    <n v="2023"/>
  </r>
  <r>
    <s v="ADPT0007"/>
    <s v="Kaine Padly"/>
    <x v="0"/>
    <x v="2"/>
    <x v="6"/>
    <x v="0"/>
    <x v="1"/>
    <n v="33000"/>
    <x v="1"/>
    <n v="32"/>
    <x v="0"/>
    <n v="24"/>
    <s v="High"/>
    <d v="2026-03-15T00:00:00"/>
    <x v="4"/>
    <s v="ADPT0007 | Kaine Padly"/>
    <x v="1"/>
    <n v="2"/>
    <s v="Jan"/>
    <n v="2022"/>
  </r>
  <r>
    <s v="ADPT0008"/>
    <s v="Ches Bonnell"/>
    <x v="1"/>
    <x v="1"/>
    <x v="7"/>
    <x v="0"/>
    <x v="6"/>
    <n v="41900"/>
    <x v="0"/>
    <n v="36"/>
    <x v="1"/>
    <n v="17"/>
    <s v="Low"/>
    <d v="2026-03-15T00:00:00"/>
    <x v="0"/>
    <s v="ADPT0008 | Ches Bonnell"/>
    <x v="0"/>
    <n v="19"/>
    <s v="Jul"/>
    <n v="2020"/>
  </r>
  <r>
    <s v="ADPT0009"/>
    <s v="Andria Kimpton"/>
    <x v="0"/>
    <x v="0"/>
    <x v="8"/>
    <x v="0"/>
    <x v="7"/>
    <n v="58100"/>
    <x v="2"/>
    <n v="31"/>
    <x v="0"/>
    <n v="16"/>
    <s v="Low"/>
    <d v="2026-03-15T00:00:00"/>
    <x v="4"/>
    <s v="ADPT0009 | Andria Kimpton"/>
    <x v="0"/>
    <n v="10"/>
    <s v="Nov"/>
    <n v="2021"/>
  </r>
  <r>
    <s v="ADPT0010"/>
    <s v="Brien Boise"/>
    <x v="1"/>
    <x v="3"/>
    <x v="9"/>
    <x v="1"/>
    <x v="8"/>
    <n v="82900"/>
    <x v="3"/>
    <n v="31"/>
    <x v="0"/>
    <n v="17"/>
    <s v="Low"/>
    <d v="2026-03-15T00:00:00"/>
    <x v="2"/>
    <s v="ADPT0010 | Brien Boise"/>
    <x v="0"/>
    <n v="25"/>
    <s v="Jun"/>
    <n v="2019"/>
  </r>
  <r>
    <s v="ADPT0011"/>
    <s v="Husein Augar"/>
    <x v="0"/>
    <x v="2"/>
    <x v="10"/>
    <x v="0"/>
    <x v="2"/>
    <n v="28900"/>
    <x v="1"/>
    <n v="30"/>
    <x v="0"/>
    <n v="16"/>
    <s v="Low"/>
    <d v="2026-03-15T00:00:00"/>
    <x v="1"/>
    <s v="ADPT0011 | Husein Augar"/>
    <x v="2"/>
    <n v="4"/>
    <s v="Aug"/>
    <n v="2022"/>
  </r>
  <r>
    <s v="ADPT0012"/>
    <s v="Karlen McCaffrey"/>
    <x v="1"/>
    <x v="1"/>
    <x v="11"/>
    <x v="0"/>
    <x v="1"/>
    <n v="37300"/>
    <x v="1"/>
    <n v="35"/>
    <x v="0"/>
    <n v="11"/>
    <s v="Low"/>
    <d v="2026-03-15T00:00:00"/>
    <x v="2"/>
    <s v="ADPT0012 | Karlen McCaffrey"/>
    <x v="1"/>
    <n v="17"/>
    <s v="Feb"/>
    <n v="2020"/>
  </r>
  <r>
    <s v="ADPT0013"/>
    <s v="Jan Morforth"/>
    <x v="0"/>
    <x v="0"/>
    <x v="12"/>
    <x v="0"/>
    <x v="0"/>
    <n v="52700"/>
    <x v="0"/>
    <n v="28"/>
    <x v="0"/>
    <n v="25"/>
    <s v="High"/>
    <d v="2026-03-15T00:00:00"/>
    <x v="4"/>
    <s v="ADPT0013 | Jan Morforth"/>
    <x v="0"/>
    <n v="30"/>
    <s v="Oct"/>
    <n v="2021"/>
  </r>
  <r>
    <s v="ADPT0014"/>
    <s v="Dotty Strutley"/>
    <x v="1"/>
    <x v="3"/>
    <x v="13"/>
    <x v="1"/>
    <x v="9"/>
    <n v="74700"/>
    <x v="3"/>
    <n v="52"/>
    <x v="2"/>
    <n v="10"/>
    <s v="Very Low"/>
    <d v="2026-03-15T00:00:00"/>
    <x v="3"/>
    <s v="ADPT0014 | Dotty Strutley"/>
    <x v="0"/>
    <n v="12"/>
    <s v="Sept"/>
    <n v="2018"/>
  </r>
  <r>
    <s v="ADPT0015"/>
    <s v="Kelci Walkden"/>
    <x v="0"/>
    <x v="0"/>
    <x v="14"/>
    <x v="1"/>
    <x v="7"/>
    <n v="55600"/>
    <x v="2"/>
    <n v="35"/>
    <x v="0"/>
    <n v="12"/>
    <s v="Low"/>
    <d v="2026-03-15T00:00:00"/>
    <x v="3"/>
    <s v="ADPT0015 | Kelci Walkden"/>
    <x v="0"/>
    <n v="5"/>
    <s v="Mar"/>
    <n v="2019"/>
  </r>
  <r>
    <s v="ADPT0016"/>
    <s v="Marney O'Breen"/>
    <x v="1"/>
    <x v="2"/>
    <x v="15"/>
    <x v="0"/>
    <x v="2"/>
    <n v="32900"/>
    <x v="1"/>
    <n v="30"/>
    <x v="0"/>
    <n v="17"/>
    <s v="Low"/>
    <d v="2026-03-15T00:00:00"/>
    <x v="1"/>
    <s v="ADPT0016 | Marney O'Breen"/>
    <x v="2"/>
    <n v="21"/>
    <s v="May"/>
    <n v="2022"/>
  </r>
  <r>
    <s v="ADPT0017"/>
    <s v="Rafaelita Blaksland"/>
    <x v="1"/>
    <x v="1"/>
    <x v="16"/>
    <x v="0"/>
    <x v="6"/>
    <n v="41500"/>
    <x v="0"/>
    <n v="32"/>
    <x v="0"/>
    <n v="17"/>
    <s v="Low"/>
    <d v="2026-03-15T00:00:00"/>
    <x v="4"/>
    <s v="ADPT0017 | Rafaelita Blaksland"/>
    <x v="0"/>
    <n v="8"/>
    <s v="Aug"/>
    <n v="2021"/>
  </r>
  <r>
    <s v="ADPT0018"/>
    <s v="Madelene Upcott"/>
    <x v="0"/>
    <x v="0"/>
    <x v="17"/>
    <x v="0"/>
    <x v="5"/>
    <n v="49400"/>
    <x v="0"/>
    <n v="31"/>
    <x v="0"/>
    <n v="20"/>
    <s v="Low"/>
    <d v="2026-03-15T00:00:00"/>
    <x v="0"/>
    <s v="ADPT0018 | Madelene Upcott"/>
    <x v="1"/>
    <n v="23"/>
    <s v="Nov"/>
    <n v="2020"/>
  </r>
  <r>
    <s v="ADPT0019"/>
    <s v="Beverie Moffet"/>
    <x v="1"/>
    <x v="3"/>
    <x v="18"/>
    <x v="3"/>
    <x v="8"/>
    <n v="82700"/>
    <x v="3"/>
    <n v="34"/>
    <x v="0"/>
    <n v="23"/>
    <s v="High"/>
    <d v="2026-03-15T00:00:00"/>
    <x v="5"/>
    <s v="ADPT0019 | Beverie Moffet"/>
    <x v="0"/>
    <n v="15"/>
    <s v="Jul"/>
    <n v="2017"/>
  </r>
  <r>
    <s v="ADPT0020"/>
    <s v="Oby Sorrel"/>
    <x v="0"/>
    <x v="2"/>
    <x v="19"/>
    <x v="0"/>
    <x v="1"/>
    <n v="38200"/>
    <x v="1"/>
    <n v="31"/>
    <x v="0"/>
    <n v="16"/>
    <s v="Low"/>
    <d v="2026-03-15T00:00:00"/>
    <x v="1"/>
    <s v="ADPT0020 | Oby Sorrel"/>
    <x v="1"/>
    <n v="30"/>
    <s v="Mar"/>
    <n v="2022"/>
  </r>
  <r>
    <s v="ADPT0021"/>
    <s v="Mallorie Waber"/>
    <x v="1"/>
    <x v="1"/>
    <x v="20"/>
    <x v="1"/>
    <x v="2"/>
    <n v="32600"/>
    <x v="1"/>
    <n v="32"/>
    <x v="0"/>
    <n v="16"/>
    <s v="Low"/>
    <d v="2026-03-15T00:00:00"/>
    <x v="2"/>
    <s v="ADPT0021 | Mallorie Waber"/>
    <x v="2"/>
    <n v="4"/>
    <s v="Sept"/>
    <n v="2019"/>
  </r>
  <r>
    <s v="ADPT0022"/>
    <s v="Jehu Rudeforth"/>
    <x v="0"/>
    <x v="0"/>
    <x v="21"/>
    <x v="1"/>
    <x v="4"/>
    <n v="76800"/>
    <x v="3"/>
    <n v="33"/>
    <x v="0"/>
    <n v="22"/>
    <s v="High"/>
    <d v="2026-03-15T00:00:00"/>
    <x v="3"/>
    <s v="ADPT0022 | Jehu Rudeforth"/>
    <x v="0"/>
    <n v="19"/>
    <s v="Jun"/>
    <n v="2018"/>
  </r>
  <r>
    <s v="ADPT0023"/>
    <s v="Van Tuxwell"/>
    <x v="1"/>
    <x v="3"/>
    <x v="22"/>
    <x v="0"/>
    <x v="3"/>
    <n v="62300"/>
    <x v="2"/>
    <n v="34"/>
    <x v="0"/>
    <n v="23"/>
    <s v="High"/>
    <d v="2026-03-15T00:00:00"/>
    <x v="0"/>
    <s v="ADPT0023 | Van Tuxwell"/>
    <x v="0"/>
    <n v="7"/>
    <s v="Jan"/>
    <n v="2021"/>
  </r>
  <r>
    <s v="ADPT0024"/>
    <s v="Roddy Speechley"/>
    <x v="0"/>
    <x v="0"/>
    <x v="23"/>
    <x v="0"/>
    <x v="5"/>
    <n v="46200"/>
    <x v="0"/>
    <n v="30"/>
    <x v="0"/>
    <n v="19"/>
    <s v="Low"/>
    <d v="2026-03-15T00:00:00"/>
    <x v="0"/>
    <s v="ADPT0024 | Roddy Speechley"/>
    <x v="1"/>
    <n v="25"/>
    <s v="Aug"/>
    <n v="2020"/>
  </r>
  <r>
    <s v="ADPT0025"/>
    <s v="Camilla Castle"/>
    <x v="1"/>
    <x v="2"/>
    <x v="24"/>
    <x v="2"/>
    <x v="2"/>
    <n v="32500"/>
    <x v="1"/>
    <n v="64"/>
    <x v="2"/>
    <n v="12"/>
    <s v="Low"/>
    <d v="2026-03-15T00:00:00"/>
    <x v="1"/>
    <s v="ADPT0025 | Camilla Castle"/>
    <x v="2"/>
    <n v="12"/>
    <s v="Feb"/>
    <n v="2023"/>
  </r>
  <r>
    <s v="ADPT0026"/>
    <s v="Janene Hairsine"/>
    <x v="0"/>
    <x v="1"/>
    <x v="25"/>
    <x v="0"/>
    <x v="6"/>
    <n v="43100"/>
    <x v="0"/>
    <n v="34"/>
    <x v="0"/>
    <n v="16"/>
    <s v="Low"/>
    <d v="2026-03-15T00:00:00"/>
    <x v="1"/>
    <s v="ADPT0026 | Janene Hairsine"/>
    <x v="0"/>
    <n v="1"/>
    <s v="Nov"/>
    <n v="2022"/>
  </r>
  <r>
    <s v="ADPT0027"/>
    <s v="Niall Selesnick"/>
    <x v="1"/>
    <x v="0"/>
    <x v="26"/>
    <x v="1"/>
    <x v="7"/>
    <n v="60000"/>
    <x v="2"/>
    <n v="29"/>
    <x v="0"/>
    <n v="18"/>
    <s v="Low"/>
    <d v="2026-03-15T00:00:00"/>
    <x v="2"/>
    <s v="ADPT0027 | Niall Selesnick"/>
    <x v="0"/>
    <n v="16"/>
    <s v="Apr"/>
    <n v="2019"/>
  </r>
  <r>
    <s v="ADPT0028"/>
    <s v="Ebonee Roxburgh"/>
    <x v="0"/>
    <x v="3"/>
    <x v="27"/>
    <x v="1"/>
    <x v="8"/>
    <n v="82100"/>
    <x v="3"/>
    <n v="33"/>
    <x v="0"/>
    <n v="14"/>
    <s v="Low"/>
    <d v="2026-03-15T00:00:00"/>
    <x v="3"/>
    <s v="ADPT0028 | Ebonee Roxburgh"/>
    <x v="0"/>
    <n v="9"/>
    <s v="Oct"/>
    <n v="2018"/>
  </r>
  <r>
    <s v="ADPT0029"/>
    <s v="Zach Polon"/>
    <x v="1"/>
    <x v="2"/>
    <x v="28"/>
    <x v="2"/>
    <x v="1"/>
    <n v="35900"/>
    <x v="1"/>
    <n v="30"/>
    <x v="0"/>
    <n v="15"/>
    <s v="Low"/>
    <d v="2026-03-15T00:00:00"/>
    <x v="6"/>
    <s v="ADPT0029 | Zach Polon"/>
    <x v="1"/>
    <n v="26"/>
    <s v="May"/>
    <n v="2023"/>
  </r>
  <r>
    <s v="ADPT0030"/>
    <s v="Orton Livick"/>
    <x v="0"/>
    <x v="1"/>
    <x v="29"/>
    <x v="0"/>
    <x v="2"/>
    <n v="31100"/>
    <x v="1"/>
    <n v="27"/>
    <x v="0"/>
    <n v="20"/>
    <s v="Low"/>
    <d v="2026-03-15T00:00:00"/>
    <x v="2"/>
    <s v="ADPT0030 | Orton Livick"/>
    <x v="2"/>
    <n v="13"/>
    <s v="Jan"/>
    <n v="2020"/>
  </r>
  <r>
    <s v="ADPT0031"/>
    <s v="Gray Seamon"/>
    <x v="1"/>
    <x v="0"/>
    <x v="30"/>
    <x v="1"/>
    <x v="9"/>
    <n v="74200"/>
    <x v="3"/>
    <n v="31"/>
    <x v="0"/>
    <n v="27"/>
    <s v="High"/>
    <d v="2026-03-15T00:00:00"/>
    <x v="3"/>
    <s v="ADPT0031 | Gray Seamon"/>
    <x v="0"/>
    <n v="27"/>
    <s v="Jul"/>
    <n v="2018"/>
  </r>
  <r>
    <s v="ADPT0032"/>
    <s v="Benny Karolovsky"/>
    <x v="0"/>
    <x v="3"/>
    <x v="31"/>
    <x v="1"/>
    <x v="7"/>
    <n v="57100"/>
    <x v="2"/>
    <n v="29"/>
    <x v="0"/>
    <n v="13"/>
    <s v="Low"/>
    <d v="2026-03-15T00:00:00"/>
    <x v="3"/>
    <s v="ADPT0032 | Benny Karolovsky"/>
    <x v="0"/>
    <n v="14"/>
    <s v="Mar"/>
    <n v="2019"/>
  </r>
  <r>
    <s v="ADPT0033"/>
    <s v="Dyna Doucette"/>
    <x v="1"/>
    <x v="2"/>
    <x v="32"/>
    <x v="0"/>
    <x v="2"/>
    <n v="35200"/>
    <x v="1"/>
    <n v="34"/>
    <x v="0"/>
    <n v="21"/>
    <s v="High"/>
    <d v="2026-03-15T00:00:00"/>
    <x v="1"/>
    <s v="ADPT0033 | Dyna Doucette"/>
    <x v="2"/>
    <n v="28"/>
    <s v="Sept"/>
    <n v="2022"/>
  </r>
  <r>
    <s v="ADPT0034"/>
    <s v="Erin Androsik"/>
    <x v="0"/>
    <x v="1"/>
    <x v="33"/>
    <x v="0"/>
    <x v="6"/>
    <n v="42800"/>
    <x v="0"/>
    <n v="31"/>
    <x v="0"/>
    <n v="18"/>
    <s v="Low"/>
    <d v="2026-03-15T00:00:00"/>
    <x v="4"/>
    <s v="ADPT0034 | Erin Androsik"/>
    <x v="0"/>
    <n v="11"/>
    <s v="Apr"/>
    <n v="2021"/>
  </r>
  <r>
    <s v="ADPT0035"/>
    <s v="Madge McCloughen"/>
    <x v="1"/>
    <x v="0"/>
    <x v="34"/>
    <x v="0"/>
    <x v="5"/>
    <n v="46900"/>
    <x v="0"/>
    <n v="35"/>
    <x v="0"/>
    <n v="16"/>
    <s v="Low"/>
    <d v="2026-03-15T00:00:00"/>
    <x v="2"/>
    <s v="ADPT0035 | Madge McCloughen"/>
    <x v="1"/>
    <n v="26"/>
    <s v="Jan"/>
    <n v="2020"/>
  </r>
  <r>
    <s v="ADPT0036"/>
    <s v="Esmaria Denecamp"/>
    <x v="0"/>
    <x v="3"/>
    <x v="35"/>
    <x v="3"/>
    <x v="8"/>
    <n v="80700"/>
    <x v="3"/>
    <n v="26"/>
    <x v="0"/>
    <n v="13"/>
    <s v="Low"/>
    <d v="2026-03-15T00:00:00"/>
    <x v="5"/>
    <s v="ADPT0036 | Esmaria Denecamp"/>
    <x v="0"/>
    <n v="3"/>
    <s v="Aug"/>
    <n v="2017"/>
  </r>
  <r>
    <s v="ADPT0037"/>
    <s v="Hogan Iles"/>
    <x v="1"/>
    <x v="2"/>
    <x v="36"/>
    <x v="2"/>
    <x v="1"/>
    <n v="36500"/>
    <x v="1"/>
    <n v="24"/>
    <x v="0"/>
    <n v="17"/>
    <s v="Low"/>
    <d v="2026-03-15T00:00:00"/>
    <x v="6"/>
    <s v="ADPT0037 | Hogan Iles"/>
    <x v="1"/>
    <n v="19"/>
    <s v="Mar"/>
    <n v="2023"/>
  </r>
  <r>
    <s v="ADPT0038"/>
    <s v="Valentia Etteridge"/>
    <x v="0"/>
    <x v="1"/>
    <x v="37"/>
    <x v="0"/>
    <x v="2"/>
    <n v="31900"/>
    <x v="1"/>
    <n v="30"/>
    <x v="0"/>
    <n v="25"/>
    <s v="High"/>
    <d v="2026-03-15T00:00:00"/>
    <x v="1"/>
    <s v="ADPT0038 | Valentia Etteridge"/>
    <x v="2"/>
    <n v="15"/>
    <s v="Oct"/>
    <n v="2022"/>
  </r>
  <r>
    <s v="ADPT0039"/>
    <s v="Archibald Filliskirk"/>
    <x v="1"/>
    <x v="0"/>
    <x v="38"/>
    <x v="1"/>
    <x v="0"/>
    <n v="52700"/>
    <x v="0"/>
    <n v="32"/>
    <x v="0"/>
    <n v="16"/>
    <s v="Low"/>
    <d v="2026-03-15T00:00:00"/>
    <x v="2"/>
    <s v="ADPT0039 | Archibald Filliskirk"/>
    <x v="0"/>
    <n v="10"/>
    <s v="Jun"/>
    <n v="2019"/>
  </r>
  <r>
    <s v="ADPT0040"/>
    <s v="Lindy Guillet"/>
    <x v="0"/>
    <x v="3"/>
    <x v="39"/>
    <x v="1"/>
    <x v="3"/>
    <n v="61400"/>
    <x v="2"/>
    <n v="38"/>
    <x v="1"/>
    <n v="15"/>
    <s v="Low"/>
    <d v="2026-03-15T00:00:00"/>
    <x v="3"/>
    <s v="ADPT0040 | Lindy Guillet"/>
    <x v="0"/>
    <n v="3"/>
    <s v="May"/>
    <n v="2018"/>
  </r>
  <r>
    <s v="ADPT0041"/>
    <s v="Dell Molloy"/>
    <x v="1"/>
    <x v="2"/>
    <x v="40"/>
    <x v="0"/>
    <x v="4"/>
    <n v="79300"/>
    <x v="3"/>
    <n v="35"/>
    <x v="0"/>
    <n v="18"/>
    <s v="Low"/>
    <d v="2026-03-15T00:00:00"/>
    <x v="4"/>
    <s v="ADPT0041 | Dell Molloy"/>
    <x v="0"/>
    <n v="29"/>
    <s v="Sept"/>
    <n v="2021"/>
  </r>
  <r>
    <s v="ADPT0042"/>
    <s v="Ewart Laphorn"/>
    <x v="0"/>
    <x v="1"/>
    <x v="41"/>
    <x v="0"/>
    <x v="5"/>
    <n v="49000"/>
    <x v="0"/>
    <n v="35"/>
    <x v="0"/>
    <n v="13"/>
    <s v="Low"/>
    <d v="2026-03-15T00:00:00"/>
    <x v="2"/>
    <s v="ADPT0042 | Ewart Laphorn"/>
    <x v="1"/>
    <n v="14"/>
    <s v="Feb"/>
    <n v="2020"/>
  </r>
  <r>
    <s v="ADPT0043"/>
    <s v="Vic Radolf"/>
    <x v="1"/>
    <x v="0"/>
    <x v="42"/>
    <x v="2"/>
    <x v="6"/>
    <n v="44800"/>
    <x v="0"/>
    <n v="30"/>
    <x v="0"/>
    <n v="17"/>
    <s v="Low"/>
    <d v="2026-03-15T00:00:00"/>
    <x v="1"/>
    <s v="ADPT0043 | Vic Radolf"/>
    <x v="0"/>
    <n v="1"/>
    <s v="Jan"/>
    <n v="2023"/>
  </r>
  <r>
    <s v="ADPT0044"/>
    <s v="Virginia McConville"/>
    <x v="0"/>
    <x v="2"/>
    <x v="43"/>
    <x v="0"/>
    <x v="2"/>
    <n v="29700"/>
    <x v="1"/>
    <n v="32"/>
    <x v="0"/>
    <n v="15"/>
    <s v="Low"/>
    <d v="2026-03-15T00:00:00"/>
    <x v="1"/>
    <s v="ADPT0044 | Virginia McConville"/>
    <x v="2"/>
    <n v="25"/>
    <s v="Nov"/>
    <n v="2022"/>
  </r>
  <r>
    <s v="ADPT0045"/>
    <s v="Kaye Crocroft"/>
    <x v="1"/>
    <x v="1"/>
    <x v="44"/>
    <x v="0"/>
    <x v="1"/>
    <n v="39700"/>
    <x v="1"/>
    <n v="30"/>
    <x v="0"/>
    <n v="18"/>
    <s v="Low"/>
    <d v="2026-03-15T00:00:00"/>
    <x v="0"/>
    <s v="ADPT0045 | Kaye Crocroft"/>
    <x v="1"/>
    <n v="9"/>
    <s v="Apr"/>
    <n v="2020"/>
  </r>
  <r>
    <s v="ADPT0046"/>
    <s v="Mollie Hanway"/>
    <x v="0"/>
    <x v="0"/>
    <x v="45"/>
    <x v="0"/>
    <x v="0"/>
    <n v="52500"/>
    <x v="0"/>
    <n v="56"/>
    <x v="2"/>
    <n v="16"/>
    <s v="Low"/>
    <d v="2026-03-15T00:00:00"/>
    <x v="4"/>
    <s v="ADPT0046 | Mollie Hanway"/>
    <x v="0"/>
    <n v="31"/>
    <s v="Oct"/>
    <n v="2021"/>
  </r>
  <r>
    <s v="ADPT0047"/>
    <s v="Hoyt D'Alesco"/>
    <x v="1"/>
    <x v="3"/>
    <x v="46"/>
    <x v="1"/>
    <x v="9"/>
    <n v="73500"/>
    <x v="3"/>
    <n v="63"/>
    <x v="2"/>
    <n v="23"/>
    <s v="High"/>
    <d v="2026-03-15T00:00:00"/>
    <x v="3"/>
    <s v="ADPT0047 | Hoyt D'Alesco"/>
    <x v="0"/>
    <n v="14"/>
    <s v="Aug"/>
    <n v="2018"/>
  </r>
  <r>
    <s v="ADPT0048"/>
    <s v="Crissie Cordel"/>
    <x v="1"/>
    <x v="0"/>
    <x v="47"/>
    <x v="1"/>
    <x v="7"/>
    <n v="57800"/>
    <x v="2"/>
    <n v="34"/>
    <x v="0"/>
    <n v="14"/>
    <s v="Low"/>
    <d v="2026-03-15T00:00:00"/>
    <x v="2"/>
    <s v="ADPT0048 | Crissie Cordel"/>
    <x v="0"/>
    <n v="27"/>
    <s v="Mar"/>
    <n v="2019"/>
  </r>
  <r>
    <s v="ADPT0049"/>
    <s v="Myer McCory"/>
    <x v="0"/>
    <x v="2"/>
    <x v="48"/>
    <x v="0"/>
    <x v="2"/>
    <n v="34900"/>
    <x v="1"/>
    <n v="30"/>
    <x v="0"/>
    <n v="19"/>
    <s v="Low"/>
    <d v="2026-03-15T00:00:00"/>
    <x v="1"/>
    <s v="ADPT0049 | Myer McCory"/>
    <x v="2"/>
    <n v="12"/>
    <s v="Jul"/>
    <n v="2022"/>
  </r>
  <r>
    <s v="ADPT0050"/>
    <s v="Enoch Dowrey"/>
    <x v="1"/>
    <x v="1"/>
    <x v="49"/>
    <x v="0"/>
    <x v="6"/>
    <n v="44400"/>
    <x v="0"/>
    <n v="32"/>
    <x v="0"/>
    <n v="18"/>
    <s v="Low"/>
    <d v="2026-03-15T00:00:00"/>
    <x v="4"/>
    <s v="ADPT0050 | Enoch Dowrey"/>
    <x v="0"/>
    <n v="25"/>
    <s v="Apr"/>
    <n v="2021"/>
  </r>
  <r>
    <s v="ADPT0051"/>
    <s v="Kissiah Maydway"/>
    <x v="1"/>
    <x v="0"/>
    <x v="50"/>
    <x v="0"/>
    <x v="5"/>
    <n v="46000"/>
    <x v="0"/>
    <n v="54"/>
    <x v="2"/>
    <n v="15"/>
    <s v="Low"/>
    <d v="2026-03-15T00:00:00"/>
    <x v="0"/>
    <s v="ADPT0051 | Kissiah Maydway"/>
    <x v="1"/>
    <n v="8"/>
    <s v="Sept"/>
    <n v="2020"/>
  </r>
  <r>
    <s v="ADPT0052"/>
    <s v="Ambros Murthwaite"/>
    <x v="1"/>
    <x v="3"/>
    <x v="51"/>
    <x v="3"/>
    <x v="8"/>
    <n v="84800"/>
    <x v="3"/>
    <n v="34"/>
    <x v="0"/>
    <n v="18"/>
    <s v="Low"/>
    <d v="2026-03-15T00:00:00"/>
    <x v="5"/>
    <s v="ADPT0052 | Ambros Murthwaite"/>
    <x v="0"/>
    <n v="23"/>
    <s v="Apr"/>
    <n v="2017"/>
  </r>
  <r>
    <s v="ADPT0053"/>
    <s v="Torrance Collier"/>
    <x v="0"/>
    <x v="2"/>
    <x v="52"/>
    <x v="2"/>
    <x v="1"/>
    <n v="39300"/>
    <x v="1"/>
    <n v="38"/>
    <x v="1"/>
    <n v="16"/>
    <s v="Low"/>
    <d v="2026-03-15T00:00:00"/>
    <x v="1"/>
    <s v="ADPT0053 | Torrance Collier"/>
    <x v="1"/>
    <n v="14"/>
    <s v="Feb"/>
    <n v="2023"/>
  </r>
  <r>
    <s v="ADPT0054"/>
    <s v="Allene Gobbet"/>
    <x v="0"/>
    <x v="1"/>
    <x v="53"/>
    <x v="0"/>
    <x v="2"/>
    <n v="29000"/>
    <x v="1"/>
    <n v="30"/>
    <x v="0"/>
    <n v="30"/>
    <s v="High"/>
    <d v="2026-03-15T00:00:00"/>
    <x v="1"/>
    <s v="ADPT0054 | Allene Gobbet"/>
    <x v="2"/>
    <n v="31"/>
    <s v="Dec"/>
    <n v="2022"/>
  </r>
  <r>
    <s v="ADPT0055"/>
    <s v="Violante Courtonne"/>
    <x v="1"/>
    <x v="0"/>
    <x v="54"/>
    <x v="1"/>
    <x v="0"/>
    <n v="53900"/>
    <x v="0"/>
    <n v="32"/>
    <x v="0"/>
    <n v="23"/>
    <s v="High"/>
    <d v="2026-03-15T00:00:00"/>
    <x v="2"/>
    <s v="ADPT0055 | Violante Courtonne"/>
    <x v="0"/>
    <n v="15"/>
    <s v="Jun"/>
    <n v="2019"/>
  </r>
  <r>
    <s v="ADPT0056"/>
    <s v="Merrilee Plenty"/>
    <x v="0"/>
    <x v="3"/>
    <x v="55"/>
    <x v="1"/>
    <x v="3"/>
    <n v="63600"/>
    <x v="2"/>
    <n v="35"/>
    <x v="0"/>
    <n v="10"/>
    <s v="Very Low"/>
    <d v="2026-03-15T00:00:00"/>
    <x v="3"/>
    <s v="ADPT0056 | Merrilee Plenty"/>
    <x v="0"/>
    <n v="28"/>
    <s v="Oct"/>
    <n v="2018"/>
  </r>
  <r>
    <s v="ADPT0057"/>
    <s v="Tatum Hush"/>
    <x v="1"/>
    <x v="2"/>
    <x v="56"/>
    <x v="0"/>
    <x v="4"/>
    <n v="77000"/>
    <x v="3"/>
    <n v="36"/>
    <x v="1"/>
    <n v="17"/>
    <s v="Low"/>
    <d v="2026-03-15T00:00:00"/>
    <x v="4"/>
    <s v="ADPT0057 | Tatum Hush"/>
    <x v="0"/>
    <n v="13"/>
    <s v="Dec"/>
    <n v="2021"/>
  </r>
  <r>
    <s v="ADPT0058"/>
    <s v="Kath Bletsoe"/>
    <x v="0"/>
    <x v="0"/>
    <x v="57"/>
    <x v="0"/>
    <x v="5"/>
    <n v="49700"/>
    <x v="0"/>
    <n v="31"/>
    <x v="0"/>
    <n v="19"/>
    <s v="Low"/>
    <d v="2026-03-15T00:00:00"/>
    <x v="0"/>
    <s v="ADPT0058 | Kath Bletsoe"/>
    <x v="1"/>
    <n v="26"/>
    <s v="Jul"/>
    <n v="2020"/>
  </r>
  <r>
    <s v="ADPT0059"/>
    <s v="Hinda Label"/>
    <x v="1"/>
    <x v="1"/>
    <x v="58"/>
    <x v="2"/>
    <x v="6"/>
    <n v="43000"/>
    <x v="0"/>
    <n v="34"/>
    <x v="0"/>
    <n v="4"/>
    <s v="Very Low"/>
    <d v="2026-03-15T00:00:00"/>
    <x v="6"/>
    <s v="ADPT0059 | Hinda Label"/>
    <x v="0"/>
    <n v="22"/>
    <s v="Jun"/>
    <n v="2023"/>
  </r>
  <r>
    <s v="ADPT0060"/>
    <s v="Shari McNee"/>
    <x v="1"/>
    <x v="0"/>
    <x v="59"/>
    <x v="1"/>
    <x v="2"/>
    <n v="36200"/>
    <x v="1"/>
    <n v="36"/>
    <x v="1"/>
    <n v="19"/>
    <s v="Low"/>
    <d v="2026-03-15T00:00:00"/>
    <x v="2"/>
    <s v="ADPT0060 | Shari McNee"/>
    <x v="2"/>
    <n v="14"/>
    <s v="Sept"/>
    <n v="2019"/>
  </r>
  <r>
    <s v="ADPT0061"/>
    <s v="My Hanscome"/>
    <x v="0"/>
    <x v="3"/>
    <x v="60"/>
    <x v="1"/>
    <x v="9"/>
    <n v="70800"/>
    <x v="3"/>
    <n v="37"/>
    <x v="1"/>
    <n v="18"/>
    <s v="Low"/>
    <d v="2026-03-15T00:00:00"/>
    <x v="3"/>
    <s v="ADPT0061 | My Hanscome"/>
    <x v="0"/>
    <n v="6"/>
    <s v="Apr"/>
    <n v="2018"/>
  </r>
  <r>
    <s v="ADPT0062"/>
    <s v="Drusy MacCombe"/>
    <x v="0"/>
    <x v="2"/>
    <x v="61"/>
    <x v="0"/>
    <x v="7"/>
    <n v="55700"/>
    <x v="2"/>
    <n v="32"/>
    <x v="0"/>
    <n v="22"/>
    <s v="High"/>
    <d v="2026-03-15T00:00:00"/>
    <x v="2"/>
    <s v="ADPT0062 | Drusy MacCombe"/>
    <x v="0"/>
    <n v="19"/>
    <s v="Jan"/>
    <n v="2020"/>
  </r>
  <r>
    <s v="ADPT0063"/>
    <s v="Halimeda Kuscha"/>
    <x v="1"/>
    <x v="1"/>
    <x v="62"/>
    <x v="0"/>
    <x v="8"/>
    <n v="83600"/>
    <x v="3"/>
    <n v="33"/>
    <x v="0"/>
    <n v="18"/>
    <s v="Low"/>
    <d v="2026-03-15T00:00:00"/>
    <x v="1"/>
    <s v="ADPT0063 | Halimeda Kuscha"/>
    <x v="0"/>
    <n v="4"/>
    <s v="Jul"/>
    <n v="2022"/>
  </r>
  <r>
    <s v="ADPT0064"/>
    <s v="William Reeveley"/>
    <x v="0"/>
    <x v="0"/>
    <x v="63"/>
    <x v="0"/>
    <x v="1"/>
    <n v="39800"/>
    <x v="1"/>
    <n v="31"/>
    <x v="0"/>
    <n v="15"/>
    <s v="Low"/>
    <d v="2026-03-15T00:00:00"/>
    <x v="4"/>
    <s v="ADPT0064 | William Reeveley"/>
    <x v="1"/>
    <n v="17"/>
    <s v="Aug"/>
    <n v="2021"/>
  </r>
  <r>
    <s v="ADPT0065"/>
    <s v="Tracy Renad"/>
    <x v="1"/>
    <x v="3"/>
    <x v="64"/>
    <x v="1"/>
    <x v="0"/>
    <n v="51400"/>
    <x v="0"/>
    <n v="34"/>
    <x v="0"/>
    <n v="8"/>
    <s v="Very Low"/>
    <d v="2026-03-15T00:00:00"/>
    <x v="3"/>
    <s v="ADPT0065 | Tracy Renad"/>
    <x v="0"/>
    <n v="10"/>
    <s v="Dec"/>
    <n v="2018"/>
  </r>
  <r>
    <s v="ADPT0066"/>
    <s v="Kassi Jonson"/>
    <x v="0"/>
    <x v="2"/>
    <x v="65"/>
    <x v="1"/>
    <x v="3"/>
    <n v="63100"/>
    <x v="2"/>
    <n v="30"/>
    <x v="0"/>
    <n v="21"/>
    <s v="High"/>
    <d v="2026-03-15T00:00:00"/>
    <x v="2"/>
    <s v="ADPT0066 | Kassi Jonson"/>
    <x v="0"/>
    <n v="23"/>
    <s v="Sept"/>
    <n v="2019"/>
  </r>
  <r>
    <s v="ADPT0067"/>
    <s v="Constantino Espley"/>
    <x v="1"/>
    <x v="0"/>
    <x v="66"/>
    <x v="0"/>
    <x v="4"/>
    <n v="76300"/>
    <x v="3"/>
    <n v="65"/>
    <x v="2"/>
    <n v="16"/>
    <s v="Low"/>
    <d v="2026-03-15T00:00:00"/>
    <x v="4"/>
    <s v="ADPT0067 | Constantino Espley"/>
    <x v="0"/>
    <n v="15"/>
    <s v="Feb"/>
    <n v="2022"/>
  </r>
  <r>
    <s v="ADPT0068"/>
    <s v="Mollie Hanway"/>
    <x v="1"/>
    <x v="1"/>
    <x v="67"/>
    <x v="0"/>
    <x v="5"/>
    <n v="47800"/>
    <x v="0"/>
    <n v="28"/>
    <x v="0"/>
    <n v="19"/>
    <s v="Low"/>
    <d v="2026-03-15T00:00:00"/>
    <x v="4"/>
    <s v="ADPT0068 | Mollie Hanway"/>
    <x v="1"/>
    <n v="29"/>
    <s v="Jun"/>
    <n v="2021"/>
  </r>
  <r>
    <s v="ADPT0069"/>
    <s v="Gretchen Callow"/>
    <x v="0"/>
    <x v="0"/>
    <x v="68"/>
    <x v="0"/>
    <x v="6"/>
    <n v="41500"/>
    <x v="0"/>
    <n v="33"/>
    <x v="0"/>
    <n v="13"/>
    <s v="Low"/>
    <d v="2026-03-15T00:00:00"/>
    <x v="0"/>
    <s v="ADPT0069 | Gretchen Callow"/>
    <x v="0"/>
    <n v="22"/>
    <s v="Mar"/>
    <n v="2020"/>
  </r>
  <r>
    <s v="ADPT0070"/>
    <s v="Bev Lashley"/>
    <x v="1"/>
    <x v="2"/>
    <x v="69"/>
    <x v="2"/>
    <x v="2"/>
    <n v="33600"/>
    <x v="1"/>
    <n v="46"/>
    <x v="1"/>
    <n v="16"/>
    <s v="Low"/>
    <d v="2026-03-15T00:00:00"/>
    <x v="1"/>
    <s v="ADPT0070 | Bev Lashley"/>
    <x v="2"/>
    <n v="12"/>
    <s v="Jan"/>
    <n v="2023"/>
  </r>
  <r>
    <s v="ADPT0071"/>
    <s v="Sibyl Dunkirk"/>
    <x v="0"/>
    <x v="1"/>
    <x v="70"/>
    <x v="1"/>
    <x v="1"/>
    <n v="37000"/>
    <x v="1"/>
    <n v="33"/>
    <x v="0"/>
    <n v="17"/>
    <s v="Low"/>
    <d v="2026-03-15T00:00:00"/>
    <x v="2"/>
    <s v="ADPT0071 | Sibyl Dunkirk"/>
    <x v="1"/>
    <n v="5"/>
    <s v="Jun"/>
    <n v="2019"/>
  </r>
  <r>
    <s v="ADPT0072"/>
    <s v="Trio Lipa"/>
    <x v="1"/>
    <x v="0"/>
    <x v="71"/>
    <x v="1"/>
    <x v="7"/>
    <n v="56700"/>
    <x v="2"/>
    <n v="35"/>
    <x v="0"/>
    <n v="14"/>
    <s v="Low"/>
    <d v="2026-03-15T00:00:00"/>
    <x v="3"/>
    <s v="ADPT0072 | Trio Lipa"/>
    <x v="0"/>
    <n v="28"/>
    <s v="Sept"/>
    <n v="2018"/>
  </r>
  <r>
    <s v="ADPT0073"/>
    <s v="Shayne Stegel"/>
    <x v="0"/>
    <x v="3"/>
    <x v="72"/>
    <x v="3"/>
    <x v="8"/>
    <n v="84700"/>
    <x v="3"/>
    <n v="35"/>
    <x v="0"/>
    <n v="20"/>
    <s v="Low"/>
    <d v="2026-03-15T00:00:00"/>
    <x v="5"/>
    <s v="ADPT0073 | Shayne Stegel"/>
    <x v="0"/>
    <n v="11"/>
    <s v="Apr"/>
    <n v="2017"/>
  </r>
  <r>
    <s v="ADPT0074"/>
    <s v="Hyacinthie Braybrooke"/>
    <x v="1"/>
    <x v="2"/>
    <x v="73"/>
    <x v="2"/>
    <x v="0"/>
    <n v="51300"/>
    <x v="0"/>
    <n v="36"/>
    <x v="1"/>
    <n v="14"/>
    <s v="Low"/>
    <d v="2026-03-15T00:00:00"/>
    <x v="1"/>
    <s v="ADPT0074 | Hyacinthie Braybrooke"/>
    <x v="0"/>
    <n v="26"/>
    <s v="Feb"/>
    <n v="2023"/>
  </r>
  <r>
    <s v="ADPT0075"/>
    <s v="Agnes Collicott"/>
    <x v="1"/>
    <x v="1"/>
    <x v="74"/>
    <x v="0"/>
    <x v="9"/>
    <n v="74800"/>
    <x v="3"/>
    <n v="31"/>
    <x v="0"/>
    <n v="20"/>
    <s v="Low"/>
    <d v="2026-03-15T00:00:00"/>
    <x v="0"/>
    <s v="ADPT0075 | Agnes Collicott"/>
    <x v="0"/>
    <n v="15"/>
    <s v="Jul"/>
    <n v="2020"/>
  </r>
  <r>
    <s v="ADPT0076"/>
    <s v="Teressa Udden"/>
    <x v="0"/>
    <x v="0"/>
    <x v="75"/>
    <x v="1"/>
    <x v="4"/>
    <n v="78400"/>
    <x v="3"/>
    <n v="31"/>
    <x v="0"/>
    <n v="22"/>
    <s v="High"/>
    <d v="2026-03-15T00:00:00"/>
    <x v="2"/>
    <s v="ADPT0076 | Teressa Udden"/>
    <x v="0"/>
    <n v="28"/>
    <s v="Oct"/>
    <n v="2019"/>
  </r>
  <r>
    <s v="ADPT0077"/>
    <s v="Bennie Pepis"/>
    <x v="1"/>
    <x v="2"/>
    <x v="76"/>
    <x v="0"/>
    <x v="5"/>
    <n v="48300"/>
    <x v="0"/>
    <n v="28"/>
    <x v="0"/>
    <n v="20"/>
    <s v="Low"/>
    <d v="2026-03-15T00:00:00"/>
    <x v="1"/>
    <s v="ADPT0077 | Bennie Pepis"/>
    <x v="1"/>
    <n v="13"/>
    <s v="Apr"/>
    <n v="2022"/>
  </r>
  <r>
    <s v="ADPT0078"/>
    <s v="Elia Cockton"/>
    <x v="1"/>
    <x v="1"/>
    <x v="77"/>
    <x v="0"/>
    <x v="6"/>
    <n v="42100"/>
    <x v="0"/>
    <n v="36"/>
    <x v="1"/>
    <n v="16"/>
    <s v="Low"/>
    <d v="2026-03-15T00:00:00"/>
    <x v="4"/>
    <s v="ADPT0078 | Elia Cockton"/>
    <x v="0"/>
    <n v="28"/>
    <s v="May"/>
    <n v="2021"/>
  </r>
  <r>
    <s v="ADPT0079"/>
    <s v="A R Rahadude"/>
    <x v="1"/>
    <x v="0"/>
    <x v="78"/>
    <x v="0"/>
    <x v="2"/>
    <n v="36000"/>
    <x v="1"/>
    <n v="32"/>
    <x v="0"/>
    <n v="17"/>
    <s v="Low"/>
    <d v="2026-03-15T00:00:00"/>
    <x v="0"/>
    <s v="ADPT0079 | A R Rahadude"/>
    <x v="2"/>
    <n v="21"/>
    <s v="Jun"/>
    <n v="2020"/>
  </r>
  <r>
    <s v="ADPT0080"/>
    <s v="Murry Dryburgh"/>
    <x v="0"/>
    <x v="3"/>
    <x v="79"/>
    <x v="1"/>
    <x v="1"/>
    <n v="37700"/>
    <x v="1"/>
    <n v="35"/>
    <x v="0"/>
    <n v="20"/>
    <s v="Low"/>
    <d v="2026-03-15T00:00:00"/>
    <x v="3"/>
    <s v="ADPT0080 | Murry Dryburgh"/>
    <x v="1"/>
    <n v="4"/>
    <s v="Sept"/>
    <n v="2018"/>
  </r>
  <r>
    <s v="ADPT0081"/>
    <s v="Mahalia Larcher"/>
    <x v="1"/>
    <x v="2"/>
    <x v="80"/>
    <x v="1"/>
    <x v="7"/>
    <n v="56900"/>
    <x v="2"/>
    <n v="30"/>
    <x v="0"/>
    <n v="12"/>
    <s v="Low"/>
    <d v="2026-03-15T00:00:00"/>
    <x v="2"/>
    <s v="ADPT0081 | Mahalia Larcher"/>
    <x v="0"/>
    <n v="20"/>
    <s v="Aug"/>
    <n v="2019"/>
  </r>
  <r>
    <s v="ADPT0082"/>
    <s v="Bili Sizey"/>
    <x v="1"/>
    <x v="1"/>
    <x v="81"/>
    <x v="0"/>
    <x v="8"/>
    <n v="81600"/>
    <x v="3"/>
    <n v="62"/>
    <x v="2"/>
    <n v="6"/>
    <s v="Very Low"/>
    <d v="2026-03-15T00:00:00"/>
    <x v="4"/>
    <s v="ADPT0082 | Bili Sizey"/>
    <x v="0"/>
    <n v="9"/>
    <s v="Mar"/>
    <n v="2022"/>
  </r>
  <r>
    <s v="ADPT0083"/>
    <s v="Lilyan Klimpt"/>
    <x v="0"/>
    <x v="0"/>
    <x v="82"/>
    <x v="0"/>
    <x v="0"/>
    <n v="51200"/>
    <x v="0"/>
    <n v="43"/>
    <x v="1"/>
    <n v="22"/>
    <s v="High"/>
    <d v="2026-03-15T00:00:00"/>
    <x v="4"/>
    <s v="ADPT0083 | Lilyan Klimpt"/>
    <x v="0"/>
    <n v="22"/>
    <s v="Dec"/>
    <n v="2021"/>
  </r>
  <r>
    <s v="ADPT0084"/>
    <s v="Almond Joy"/>
    <x v="1"/>
    <x v="3"/>
    <x v="83"/>
    <x v="1"/>
    <x v="3"/>
    <n v="61400"/>
    <x v="2"/>
    <n v="31"/>
    <x v="0"/>
    <n v="15"/>
    <s v="Low"/>
    <d v="2026-03-15T00:00:00"/>
    <x v="2"/>
    <s v="ADPT0084 | Almond Joy"/>
    <x v="0"/>
    <n v="15"/>
    <s v="Jul"/>
    <n v="2019"/>
  </r>
  <r>
    <s v="ADPT0085"/>
    <s v="Leilah Yesinin"/>
    <x v="0"/>
    <x v="2"/>
    <x v="84"/>
    <x v="2"/>
    <x v="4"/>
    <n v="76700"/>
    <x v="3"/>
    <n v="31"/>
    <x v="0"/>
    <n v="16"/>
    <s v="Low"/>
    <d v="2026-03-15T00:00:00"/>
    <x v="6"/>
    <s v="ADPT0085 | Leilah Yesinin"/>
    <x v="0"/>
    <n v="27"/>
    <s v="Apr"/>
    <n v="2023"/>
  </r>
  <r>
    <s v="ADPT0086"/>
    <s v="Collin Jagson"/>
    <x v="1"/>
    <x v="1"/>
    <x v="85"/>
    <x v="0"/>
    <x v="5"/>
    <n v="49800"/>
    <x v="0"/>
    <n v="50"/>
    <x v="1"/>
    <n v="15"/>
    <s v="Low"/>
    <d v="2026-03-15T00:00:00"/>
    <x v="0"/>
    <s v="ADPT0086 | Collin Jagson"/>
    <x v="1"/>
    <n v="10"/>
    <s v="May"/>
    <n v="2020"/>
  </r>
  <r>
    <s v="ADPT0087"/>
    <s v="Kellsie Waby"/>
    <x v="0"/>
    <x v="0"/>
    <x v="86"/>
    <x v="0"/>
    <x v="6"/>
    <n v="43000"/>
    <x v="0"/>
    <n v="61"/>
    <x v="2"/>
    <n v="24"/>
    <s v="High"/>
    <d v="2026-03-15T00:00:00"/>
    <x v="0"/>
    <s v="ADPT0087 | Kellsie Waby"/>
    <x v="0"/>
    <n v="3"/>
    <s v="Feb"/>
    <n v="2021"/>
  </r>
  <r>
    <s v="ADPT0088"/>
    <s v="Simon Kembery"/>
    <x v="1"/>
    <x v="2"/>
    <x v="87"/>
    <x v="0"/>
    <x v="2"/>
    <n v="36200"/>
    <x v="1"/>
    <n v="40"/>
    <x v="1"/>
    <n v="14"/>
    <s v="Low"/>
    <d v="2026-03-15T00:00:00"/>
    <x v="1"/>
    <s v="ADPT0088 | Simon Kembery"/>
    <x v="2"/>
    <n v="19"/>
    <s v="May"/>
    <n v="2022"/>
  </r>
  <r>
    <s v="ADPT0089"/>
    <s v="Tawnya Tickel"/>
    <x v="0"/>
    <x v="1"/>
    <x v="88"/>
    <x v="1"/>
    <x v="1"/>
    <n v="36400"/>
    <x v="1"/>
    <n v="38"/>
    <x v="1"/>
    <n v="20"/>
    <s v="Low"/>
    <d v="2026-03-15T00:00:00"/>
    <x v="2"/>
    <s v="ADPT0089 | Tawnya Tickel"/>
    <x v="1"/>
    <n v="14"/>
    <s v="Aug"/>
    <n v="2019"/>
  </r>
  <r>
    <s v="ADPT0090"/>
    <s v="Bernie Gorges"/>
    <x v="1"/>
    <x v="0"/>
    <x v="89"/>
    <x v="1"/>
    <x v="0"/>
    <n v="54900"/>
    <x v="0"/>
    <n v="32"/>
    <x v="0"/>
    <n v="17"/>
    <s v="Low"/>
    <d v="2026-03-15T00:00:00"/>
    <x v="3"/>
    <s v="ADPT0090 | Bernie Gorges"/>
    <x v="0"/>
    <n v="27"/>
    <s v="Nov"/>
    <n v="2018"/>
  </r>
  <r>
    <s v="ADPT0091"/>
    <s v="Florinda Crace"/>
    <x v="0"/>
    <x v="3"/>
    <x v="90"/>
    <x v="3"/>
    <x v="9"/>
    <n v="74200"/>
    <x v="3"/>
    <n v="31"/>
    <x v="0"/>
    <n v="17"/>
    <s v="Low"/>
    <d v="2026-03-15T00:00:00"/>
    <x v="5"/>
    <s v="ADPT0091 | Florinda Crace"/>
    <x v="0"/>
    <n v="10"/>
    <s v="Jun"/>
    <n v="2017"/>
  </r>
  <r>
    <s v="ADPT0092"/>
    <s v="Oran Buxcy"/>
    <x v="0"/>
    <x v="2"/>
    <x v="36"/>
    <x v="2"/>
    <x v="7"/>
    <n v="58700"/>
    <x v="2"/>
    <n v="47"/>
    <x v="1"/>
    <n v="6"/>
    <s v="Very Low"/>
    <d v="2026-03-15T00:00:00"/>
    <x v="6"/>
    <s v="ADPT0092 | Oran Buxcy"/>
    <x v="0"/>
    <n v="19"/>
    <s v="Mar"/>
    <n v="2023"/>
  </r>
  <r>
    <s v="ADPT0093"/>
    <s v="Anvi Verma"/>
    <x v="1"/>
    <x v="1"/>
    <x v="91"/>
    <x v="0"/>
    <x v="8"/>
    <n v="81100"/>
    <x v="3"/>
    <n v="35"/>
    <x v="0"/>
    <n v="16"/>
    <s v="Low"/>
    <d v="2026-03-15T00:00:00"/>
    <x v="0"/>
    <s v="ADPT0093 | Anvi Verma"/>
    <x v="0"/>
    <n v="2"/>
    <s v="Sept"/>
    <n v="2020"/>
  </r>
  <r>
    <s v="ADPT0094"/>
    <s v="Zara Mishra"/>
    <x v="1"/>
    <x v="0"/>
    <x v="92"/>
    <x v="1"/>
    <x v="1"/>
    <n v="38300"/>
    <x v="1"/>
    <n v="34"/>
    <x v="0"/>
    <n v="14"/>
    <s v="Low"/>
    <d v="2026-03-15T00:00:00"/>
    <x v="2"/>
    <s v="ADPT0094 | Zara Mishra"/>
    <x v="1"/>
    <n v="17"/>
    <s v="Jul"/>
    <n v="2019"/>
  </r>
  <r>
    <s v="ADPT0095"/>
    <s v="Dev Joshi"/>
    <x v="0"/>
    <x v="3"/>
    <x v="64"/>
    <x v="1"/>
    <x v="0"/>
    <n v="51100"/>
    <x v="0"/>
    <n v="36"/>
    <x v="1"/>
    <n v="15"/>
    <s v="Low"/>
    <d v="2026-03-15T00:00:00"/>
    <x v="3"/>
    <s v="ADPT0095 | Dev Joshi"/>
    <x v="0"/>
    <n v="10"/>
    <s v="Dec"/>
    <n v="2018"/>
  </r>
  <r>
    <s v="ADPT0096"/>
    <s v="Pari Sharma"/>
    <x v="1"/>
    <x v="2"/>
    <x v="93"/>
    <x v="2"/>
    <x v="3"/>
    <n v="63500"/>
    <x v="2"/>
    <n v="28"/>
    <x v="0"/>
    <n v="20"/>
    <s v="Low"/>
    <d v="2026-03-15T00:00:00"/>
    <x v="6"/>
    <s v="ADPT0096 | Pari Sharma"/>
    <x v="0"/>
    <n v="4"/>
    <s v="May"/>
    <n v="2023"/>
  </r>
  <r>
    <s v="ADPT0097"/>
    <s v="Aanya Kapoor"/>
    <x v="1"/>
    <x v="0"/>
    <x v="94"/>
    <x v="0"/>
    <x v="4"/>
    <n v="78900"/>
    <x v="3"/>
    <n v="30"/>
    <x v="0"/>
    <n v="17"/>
    <s v="Low"/>
    <d v="2026-03-15T00:00:00"/>
    <x v="4"/>
    <s v="ADPT0097 | Aanya Kapoor"/>
    <x v="0"/>
    <n v="28"/>
    <s v="Oct"/>
    <n v="2021"/>
  </r>
  <r>
    <s v="ADPT0098"/>
    <s v="Kiara Choudhary"/>
    <x v="1"/>
    <x v="1"/>
    <x v="95"/>
    <x v="0"/>
    <x v="5"/>
    <n v="46000"/>
    <x v="0"/>
    <n v="38"/>
    <x v="1"/>
    <n v="21"/>
    <s v="High"/>
    <d v="2026-03-15T00:00:00"/>
    <x v="2"/>
    <s v="ADPT0098 | Kiara Choudhary"/>
    <x v="1"/>
    <n v="12"/>
    <s v="Feb"/>
    <n v="2020"/>
  </r>
  <r>
    <s v="ADPT0099"/>
    <s v="Reyansh Iyer"/>
    <x v="0"/>
    <x v="0"/>
    <x v="96"/>
    <x v="1"/>
    <x v="6"/>
    <n v="44400"/>
    <x v="0"/>
    <n v="35"/>
    <x v="0"/>
    <n v="16"/>
    <s v="Low"/>
    <d v="2026-03-15T00:00:00"/>
    <x v="2"/>
    <s v="ADPT0099 | Reyansh Iyer"/>
    <x v="0"/>
    <n v="27"/>
    <s v="May"/>
    <n v="2019"/>
  </r>
  <r>
    <s v="ADPT0100"/>
    <s v="Samaira Agarwal"/>
    <x v="1"/>
    <x v="2"/>
    <x v="97"/>
    <x v="0"/>
    <x v="2"/>
    <n v="36200"/>
    <x v="1"/>
    <n v="40"/>
    <x v="1"/>
    <n v="24"/>
    <s v="High"/>
    <d v="2026-03-15T00:00:00"/>
    <x v="1"/>
    <s v="ADPT0100 | Samaira Agarwal"/>
    <x v="2"/>
    <n v="12"/>
    <s v="Dec"/>
    <n v="2022"/>
  </r>
  <r>
    <s v="ADPT0101"/>
    <s v="Avani Malhotra"/>
    <x v="1"/>
    <x v="1"/>
    <x v="98"/>
    <x v="0"/>
    <x v="1"/>
    <n v="38800"/>
    <x v="1"/>
    <n v="32"/>
    <x v="0"/>
    <n v="20"/>
    <s v="Low"/>
    <d v="2026-03-15T00:00:00"/>
    <x v="4"/>
    <s v="ADPT0101 | Avani Malhotra"/>
    <x v="1"/>
    <n v="26"/>
    <s v="Apr"/>
    <n v="2021"/>
  </r>
  <r>
    <s v="ADPT0102"/>
    <s v="Kiaan Rana"/>
    <x v="0"/>
    <x v="0"/>
    <x v="99"/>
    <x v="1"/>
    <x v="7"/>
    <n v="57800"/>
    <x v="2"/>
    <n v="37"/>
    <x v="1"/>
    <n v="15"/>
    <s v="Low"/>
    <d v="2026-03-15T00:00:00"/>
    <x v="3"/>
    <s v="ADPT0102 | Kiaan Rana"/>
    <x v="0"/>
    <n v="9"/>
    <s v="Sept"/>
    <n v="2018"/>
  </r>
  <r>
    <s v="ADPT0103"/>
    <s v="Aarav Shah"/>
    <x v="0"/>
    <x v="3"/>
    <x v="100"/>
    <x v="3"/>
    <x v="8"/>
    <n v="82800"/>
    <x v="3"/>
    <n v="52"/>
    <x v="2"/>
    <n v="20"/>
    <s v="Low"/>
    <d v="2026-03-15T00:00:00"/>
    <x v="5"/>
    <s v="ADPT0103 | Aarav Shah"/>
    <x v="0"/>
    <n v="31"/>
    <s v="Oct"/>
    <n v="2017"/>
  </r>
  <r>
    <s v="ADPT0104"/>
    <s v="Anaya Gupta"/>
    <x v="1"/>
    <x v="2"/>
    <x v="101"/>
    <x v="2"/>
    <x v="0"/>
    <n v="53900"/>
    <x v="0"/>
    <n v="36"/>
    <x v="1"/>
    <n v="15"/>
    <s v="Low"/>
    <d v="2026-03-15T00:00:00"/>
    <x v="1"/>
    <s v="ADPT0104 | Anaya Gupta"/>
    <x v="0"/>
    <n v="15"/>
    <s v="Jan"/>
    <n v="2023"/>
  </r>
  <r>
    <s v="ADPT0105"/>
    <s v="Munch Munch"/>
    <x v="0"/>
    <x v="1"/>
    <x v="102"/>
    <x v="0"/>
    <x v="9"/>
    <n v="73900"/>
    <x v="3"/>
    <n v="30"/>
    <x v="0"/>
    <n v="12"/>
    <s v="Low"/>
    <d v="2026-03-15T00:00:00"/>
    <x v="0"/>
    <s v="ADPT0105 | Munch Munch"/>
    <x v="0"/>
    <n v="28"/>
    <s v="Jun"/>
    <n v="2020"/>
  </r>
  <r>
    <s v="ADPT0106"/>
    <s v="Siya Trivedi"/>
    <x v="1"/>
    <x v="0"/>
    <x v="103"/>
    <x v="1"/>
    <x v="4"/>
    <n v="76100"/>
    <x v="3"/>
    <n v="28"/>
    <x v="0"/>
    <n v="16"/>
    <s v="Low"/>
    <d v="2026-03-15T00:00:00"/>
    <x v="2"/>
    <s v="ADPT0106 | Siya Trivedi"/>
    <x v="0"/>
    <n v="11"/>
    <s v="Sept"/>
    <n v="2019"/>
  </r>
  <r>
    <s v="ADPT0107"/>
    <s v="Kabir Kapoor"/>
    <x v="0"/>
    <x v="2"/>
    <x v="104"/>
    <x v="0"/>
    <x v="5"/>
    <n v="45500"/>
    <x v="0"/>
    <n v="29"/>
    <x v="0"/>
    <n v="14"/>
    <s v="Low"/>
    <d v="2026-03-15T00:00:00"/>
    <x v="4"/>
    <s v="ADPT0107 | Kabir Kapoor"/>
    <x v="1"/>
    <n v="4"/>
    <s v="Mar"/>
    <n v="2022"/>
  </r>
  <r>
    <s v="ADPT0108"/>
    <s v="Rhea Saxena"/>
    <x v="1"/>
    <x v="1"/>
    <x v="105"/>
    <x v="0"/>
    <x v="6"/>
    <n v="44600"/>
    <x v="0"/>
    <n v="37"/>
    <x v="1"/>
    <n v="10"/>
    <s v="Very Low"/>
    <d v="2026-03-15T00:00:00"/>
    <x v="4"/>
    <s v="ADPT0108 | Rhea Saxena"/>
    <x v="0"/>
    <n v="17"/>
    <s v="Jun"/>
    <n v="2021"/>
  </r>
  <r>
    <s v="ADPT0109"/>
    <s v="Advait Sharma"/>
    <x v="0"/>
    <x v="0"/>
    <x v="106"/>
    <x v="1"/>
    <x v="2"/>
    <n v="36100"/>
    <x v="1"/>
    <n v="27"/>
    <x v="0"/>
    <n v="8"/>
    <s v="Very Low"/>
    <d v="2026-03-15T00:00:00"/>
    <x v="3"/>
    <s v="ADPT0109 | Advait Sharma"/>
    <x v="2"/>
    <n v="30"/>
    <s v="Nov"/>
    <n v="2018"/>
  </r>
  <r>
    <s v="ADPT0110"/>
    <s v="Aarush Mishra"/>
    <x v="0"/>
    <x v="3"/>
    <x v="107"/>
    <x v="3"/>
    <x v="1"/>
    <n v="35500"/>
    <x v="1"/>
    <n v="30"/>
    <x v="0"/>
    <n v="24"/>
    <s v="High"/>
    <d v="2026-03-15T00:00:00"/>
    <x v="5"/>
    <s v="ADPT0110 | Aarush Mishra"/>
    <x v="1"/>
    <n v="23"/>
    <s v="Jul"/>
    <n v="2017"/>
  </r>
  <r>
    <s v="ADPT0111"/>
    <s v="Anika Chawla"/>
    <x v="1"/>
    <x v="2"/>
    <x v="108"/>
    <x v="2"/>
    <x v="7"/>
    <n v="58000"/>
    <x v="2"/>
    <n v="33"/>
    <x v="0"/>
    <n v="13"/>
    <s v="Low"/>
    <d v="2026-03-15T00:00:00"/>
    <x v="6"/>
    <s v="ADPT0111 | Anika Chawla"/>
    <x v="0"/>
    <n v="11"/>
    <s v="May"/>
    <n v="2023"/>
  </r>
  <r>
    <s v="ADPT0112"/>
    <s v="Zara Verma"/>
    <x v="1"/>
    <x v="1"/>
    <x v="109"/>
    <x v="0"/>
    <x v="8"/>
    <n v="81400"/>
    <x v="3"/>
    <n v="35"/>
    <x v="0"/>
    <n v="19"/>
    <s v="Low"/>
    <d v="2026-03-15T00:00:00"/>
    <x v="0"/>
    <s v="ADPT0112 | Zara Verma"/>
    <x v="0"/>
    <n v="24"/>
    <s v="Oct"/>
    <n v="2020"/>
  </r>
  <r>
    <s v="ADPT0113"/>
    <s v="Dev Agarwal"/>
    <x v="0"/>
    <x v="0"/>
    <x v="110"/>
    <x v="1"/>
    <x v="0"/>
    <n v="51000"/>
    <x v="0"/>
    <n v="35"/>
    <x v="0"/>
    <n v="22"/>
    <s v="High"/>
    <d v="2026-03-15T00:00:00"/>
    <x v="2"/>
    <s v="ADPT0113 | Dev Agarwal"/>
    <x v="0"/>
    <n v="15"/>
    <s v="Apr"/>
    <n v="2019"/>
  </r>
  <r>
    <s v="ADPT0114"/>
    <s v="Pari Kumar"/>
    <x v="1"/>
    <x v="3"/>
    <x v="111"/>
    <x v="1"/>
    <x v="3"/>
    <n v="61600"/>
    <x v="2"/>
    <n v="31"/>
    <x v="0"/>
    <n v="15"/>
    <s v="Low"/>
    <d v="2026-03-15T00:00:00"/>
    <x v="3"/>
    <s v="ADPT0114 | Pari Kumar"/>
    <x v="0"/>
    <n v="8"/>
    <s v="Sept"/>
    <n v="2018"/>
  </r>
  <r>
    <s v="ADPT0115"/>
    <s v="Aanya Singh"/>
    <x v="1"/>
    <x v="2"/>
    <x v="112"/>
    <x v="0"/>
    <x v="4"/>
    <n v="77100"/>
    <x v="3"/>
    <n v="32"/>
    <x v="0"/>
    <n v="9"/>
    <s v="Very Low"/>
    <d v="2026-03-15T00:00:00"/>
    <x v="4"/>
    <s v="ADPT0115 | Aanya Singh"/>
    <x v="0"/>
    <n v="29"/>
    <s v="Nov"/>
    <n v="2021"/>
  </r>
  <r>
    <s v="ADPT0116"/>
    <s v="Kiara Joshi"/>
    <x v="1"/>
    <x v="1"/>
    <x v="113"/>
    <x v="0"/>
    <x v="5"/>
    <n v="47900"/>
    <x v="0"/>
    <n v="32"/>
    <x v="0"/>
    <n v="9"/>
    <s v="Very Low"/>
    <d v="2026-03-15T00:00:00"/>
    <x v="0"/>
    <s v="ADPT0116 | Kiara Joshi"/>
    <x v="1"/>
    <n v="13"/>
    <s v="Jul"/>
    <n v="2020"/>
  </r>
  <r>
    <s v="ADPT0117"/>
    <s v="Reyansh Malhotra"/>
    <x v="0"/>
    <x v="0"/>
    <x v="114"/>
    <x v="1"/>
    <x v="6"/>
    <n v="43000"/>
    <x v="0"/>
    <n v="28"/>
    <x v="0"/>
    <n v="17"/>
    <s v="Low"/>
    <d v="2026-03-15T00:00:00"/>
    <x v="2"/>
    <s v="ADPT0117 | Reyansh Malhotra"/>
    <x v="0"/>
    <n v="28"/>
    <s v="Mar"/>
    <n v="2019"/>
  </r>
  <r>
    <s v="ADPT0118"/>
    <s v="M&amp;M Peanut"/>
    <x v="1"/>
    <x v="2"/>
    <x v="115"/>
    <x v="0"/>
    <x v="2"/>
    <n v="35100"/>
    <x v="1"/>
    <n v="36"/>
    <x v="1"/>
    <n v="21"/>
    <s v="High"/>
    <d v="2026-03-15T00:00:00"/>
    <x v="1"/>
    <s v="ADPT0118 | M&amp;M Peanut"/>
    <x v="2"/>
    <n v="12"/>
    <s v="Aug"/>
    <n v="2022"/>
  </r>
  <r>
    <s v="ADPT0119"/>
    <s v="Avani Agarwal"/>
    <x v="1"/>
    <x v="1"/>
    <x v="116"/>
    <x v="0"/>
    <x v="1"/>
    <n v="39700"/>
    <x v="1"/>
    <n v="31"/>
    <x v="0"/>
    <n v="16"/>
    <s v="Low"/>
    <d v="2026-03-15T00:00:00"/>
    <x v="4"/>
    <s v="ADPT0119 | Avani Agarwal"/>
    <x v="1"/>
    <n v="25"/>
    <s v="May"/>
    <n v="2021"/>
  </r>
  <r>
    <s v="ADPT0120"/>
    <s v="Nestle Crunch"/>
    <x v="0"/>
    <x v="0"/>
    <x v="117"/>
    <x v="1"/>
    <x v="7"/>
    <n v="59200"/>
    <x v="2"/>
    <n v="31"/>
    <x v="0"/>
    <n v="18"/>
    <s v="Low"/>
    <d v="2026-03-15T00:00:00"/>
    <x v="3"/>
    <s v="ADPT0120 | Nestle Crunch"/>
    <x v="0"/>
    <n v="18"/>
    <s v="Oct"/>
    <n v="2018"/>
  </r>
  <r>
    <s v="ADPT0121"/>
    <s v="Aarav Verma"/>
    <x v="0"/>
    <x v="3"/>
    <x v="118"/>
    <x v="3"/>
    <x v="8"/>
    <n v="85000"/>
    <x v="3"/>
    <n v="65"/>
    <x v="2"/>
    <n v="5"/>
    <s v="Very Low"/>
    <d v="2026-03-15T00:00:00"/>
    <x v="5"/>
    <s v="ADPT0121 | Aarav Verma"/>
    <x v="0"/>
    <n v="11"/>
    <s v="May"/>
    <n v="2017"/>
  </r>
  <r>
    <s v="ADPT0122"/>
    <s v="Anaya Choudhary"/>
    <x v="1"/>
    <x v="2"/>
    <x v="119"/>
    <x v="2"/>
    <x v="0"/>
    <n v="52700"/>
    <x v="0"/>
    <n v="30"/>
    <x v="0"/>
    <n v="10"/>
    <s v="Very Low"/>
    <d v="2026-03-15T00:00:00"/>
    <x v="1"/>
    <s v="ADPT0122 | Anaya Choudhary"/>
    <x v="0"/>
    <n v="26"/>
    <s v="Jan"/>
    <n v="2023"/>
  </r>
  <r>
    <s v="ADPT0123"/>
    <s v="Krish Trivedi"/>
    <x v="0"/>
    <x v="1"/>
    <x v="120"/>
    <x v="0"/>
    <x v="9"/>
    <n v="74900"/>
    <x v="3"/>
    <n v="34"/>
    <x v="0"/>
    <n v="11"/>
    <s v="Low"/>
    <d v="2026-03-15T00:00:00"/>
    <x v="0"/>
    <s v="ADPT0123 | Krish Trivedi"/>
    <x v="0"/>
    <n v="9"/>
    <s v="Jul"/>
    <n v="2020"/>
  </r>
  <r>
    <s v="ADPT0124"/>
    <s v="Siya Rawat"/>
    <x v="1"/>
    <x v="0"/>
    <x v="121"/>
    <x v="1"/>
    <x v="4"/>
    <n v="77500"/>
    <x v="3"/>
    <n v="30"/>
    <x v="0"/>
    <n v="14"/>
    <s v="Low"/>
    <d v="2026-03-15T00:00:00"/>
    <x v="2"/>
    <s v="ADPT0124 | Siya Rawat"/>
    <x v="0"/>
    <n v="1"/>
    <s v="Oct"/>
    <n v="2019"/>
  </r>
  <r>
    <s v="ADPT0125"/>
    <s v="Kabir Shah"/>
    <x v="0"/>
    <x v="2"/>
    <x v="122"/>
    <x v="0"/>
    <x v="5"/>
    <n v="45900"/>
    <x v="0"/>
    <n v="37"/>
    <x v="1"/>
    <n v="16"/>
    <s v="Low"/>
    <d v="2026-03-15T00:00:00"/>
    <x v="4"/>
    <s v="ADPT0125 | Kabir Shah"/>
    <x v="1"/>
    <n v="14"/>
    <s v="Feb"/>
    <n v="2022"/>
  </r>
  <r>
    <s v="ADPT0126"/>
    <s v="Rhea Bhatia"/>
    <x v="1"/>
    <x v="1"/>
    <x v="123"/>
    <x v="0"/>
    <x v="6"/>
    <n v="45000"/>
    <x v="0"/>
    <n v="36"/>
    <x v="1"/>
    <n v="2"/>
    <s v="Very Low"/>
    <d v="2026-03-15T00:00:00"/>
    <x v="4"/>
    <s v="ADPT0126 | Rhea Bhatia"/>
    <x v="0"/>
    <n v="29"/>
    <s v="Jul"/>
    <n v="2021"/>
  </r>
  <r>
    <s v="ADPT0127"/>
    <s v="Advait Kumar"/>
    <x v="0"/>
    <x v="0"/>
    <x v="124"/>
    <x v="1"/>
    <x v="2"/>
    <n v="33100"/>
    <x v="1"/>
    <n v="34"/>
    <x v="0"/>
    <n v="9"/>
    <s v="Very Low"/>
    <d v="2026-03-15T00:00:00"/>
    <x v="3"/>
    <s v="ADPT0127 | Advait Kumar"/>
    <x v="2"/>
    <n v="21"/>
    <s v="Nov"/>
    <n v="2018"/>
  </r>
  <r>
    <s v="ADPT0128"/>
    <s v="Aarush Verma"/>
    <x v="0"/>
    <x v="3"/>
    <x v="125"/>
    <x v="3"/>
    <x v="1"/>
    <n v="37600"/>
    <x v="1"/>
    <n v="38"/>
    <x v="1"/>
    <n v="18"/>
    <s v="Low"/>
    <d v="2026-03-15T00:00:00"/>
    <x v="5"/>
    <s v="ADPT0128 | Aarush Verma"/>
    <x v="1"/>
    <n v="14"/>
    <s v="Jun"/>
    <n v="2017"/>
  </r>
  <r>
    <s v="ADPT0129"/>
    <s v="Anika Singh"/>
    <x v="1"/>
    <x v="2"/>
    <x v="126"/>
    <x v="2"/>
    <x v="7"/>
    <n v="58300"/>
    <x v="2"/>
    <n v="29"/>
    <x v="0"/>
    <n v="16"/>
    <s v="Low"/>
    <d v="2026-03-15T00:00:00"/>
    <x v="1"/>
    <s v="ADPT0129 | Anika Singh"/>
    <x v="0"/>
    <n v="7"/>
    <s v="Jan"/>
    <n v="2023"/>
  </r>
  <r>
    <s v="ADPT0130"/>
    <s v="Zara Chawla"/>
    <x v="1"/>
    <x v="1"/>
    <x v="127"/>
    <x v="0"/>
    <x v="8"/>
    <n v="83900"/>
    <x v="3"/>
    <n v="31"/>
    <x v="0"/>
    <n v="14"/>
    <s v="Low"/>
    <d v="2026-03-15T00:00:00"/>
    <x v="0"/>
    <s v="ADPT0130 | Zara Chawla"/>
    <x v="0"/>
    <n v="30"/>
    <s v="Jul"/>
    <n v="2020"/>
  </r>
  <r>
    <s v="ADPT0131"/>
    <s v="Dev Joshi"/>
    <x v="0"/>
    <x v="0"/>
    <x v="128"/>
    <x v="1"/>
    <x v="0"/>
    <n v="51100"/>
    <x v="0"/>
    <n v="34"/>
    <x v="0"/>
    <n v="16"/>
    <s v="Low"/>
    <d v="2026-03-15T00:00:00"/>
    <x v="2"/>
    <s v="ADPT0131 | Dev Joshi"/>
    <x v="0"/>
    <n v="23"/>
    <s v="Dec"/>
    <n v="2019"/>
  </r>
  <r>
    <s v="ADPT0132"/>
    <s v="Pari Gupta"/>
    <x v="1"/>
    <x v="3"/>
    <x v="129"/>
    <x v="1"/>
    <x v="3"/>
    <n v="62900"/>
    <x v="2"/>
    <n v="37"/>
    <x v="1"/>
    <n v="15"/>
    <s v="Low"/>
    <d v="2026-03-15T00:00:00"/>
    <x v="3"/>
    <s v="ADPT0132 | Pari Gupta"/>
    <x v="0"/>
    <n v="16"/>
    <s v="Sept"/>
    <n v="2018"/>
  </r>
  <r>
    <s v="ADPT0133"/>
    <s v="Aanya Trivedi"/>
    <x v="1"/>
    <x v="2"/>
    <x v="130"/>
    <x v="0"/>
    <x v="4"/>
    <n v="79200"/>
    <x v="3"/>
    <n v="31"/>
    <x v="0"/>
    <n v="14"/>
    <s v="Low"/>
    <d v="2026-03-15T00:00:00"/>
    <x v="4"/>
    <s v="ADPT0133 | Aanya Trivedi"/>
    <x v="0"/>
    <n v="7"/>
    <s v="Feb"/>
    <n v="2022"/>
  </r>
  <r>
    <s v="ADPT0134"/>
    <s v="Kiara Bhatia"/>
    <x v="1"/>
    <x v="1"/>
    <x v="131"/>
    <x v="0"/>
    <x v="5"/>
    <n v="47000"/>
    <x v="0"/>
    <n v="32"/>
    <x v="0"/>
    <n v="22"/>
    <s v="High"/>
    <d v="2026-03-15T00:00:00"/>
    <x v="4"/>
    <s v="ADPT0134 | Kiara Bhatia"/>
    <x v="1"/>
    <n v="22"/>
    <s v="Jun"/>
    <n v="2021"/>
  </r>
  <r>
    <s v="ADPT0135"/>
    <s v="Reyansh Rana"/>
    <x v="0"/>
    <x v="0"/>
    <x v="132"/>
    <x v="0"/>
    <x v="6"/>
    <n v="42400"/>
    <x v="0"/>
    <n v="66"/>
    <x v="3"/>
    <n v="19"/>
    <s v="Low"/>
    <d v="2026-03-15T00:00:00"/>
    <x v="0"/>
    <s v="ADPT0135 | Reyansh Rana"/>
    <x v="0"/>
    <n v="15"/>
    <s v="Sept"/>
    <n v="2020"/>
  </r>
  <r>
    <s v="ADPT0136"/>
    <s v="Lindt Truffle"/>
    <x v="1"/>
    <x v="2"/>
    <x v="133"/>
    <x v="1"/>
    <x v="2"/>
    <n v="33800"/>
    <x v="1"/>
    <n v="67"/>
    <x v="3"/>
    <n v="8"/>
    <s v="Very Low"/>
    <d v="2026-03-15T00:00:00"/>
    <x v="2"/>
    <s v="ADPT0136 | Lindt Truffle"/>
    <x v="2"/>
    <n v="28"/>
    <s v="Nov"/>
    <n v="2019"/>
  </r>
  <r>
    <s v="ADPT0137"/>
    <s v="Avani Iyer"/>
    <x v="1"/>
    <x v="1"/>
    <x v="69"/>
    <x v="2"/>
    <x v="1"/>
    <n v="36000"/>
    <x v="1"/>
    <n v="31"/>
    <x v="0"/>
    <n v="18"/>
    <s v="Low"/>
    <d v="2026-03-15T00:00:00"/>
    <x v="1"/>
    <s v="ADPT0137 | Avani Iyer"/>
    <x v="1"/>
    <n v="12"/>
    <s v="Jan"/>
    <n v="2023"/>
  </r>
  <r>
    <s v="ADPT0138"/>
    <s v="Kiaan Shah"/>
    <x v="0"/>
    <x v="0"/>
    <x v="134"/>
    <x v="0"/>
    <x v="7"/>
    <n v="58500"/>
    <x v="2"/>
    <n v="31"/>
    <x v="0"/>
    <n v="23"/>
    <s v="High"/>
    <d v="2026-03-15T00:00:00"/>
    <x v="4"/>
    <s v="ADPT0138 | Kiaan Shah"/>
    <x v="0"/>
    <n v="5"/>
    <s v="May"/>
    <n v="2021"/>
  </r>
  <r>
    <s v="ADPT0139"/>
    <s v="Oreo Delight"/>
    <x v="0"/>
    <x v="3"/>
    <x v="71"/>
    <x v="1"/>
    <x v="8"/>
    <n v="83200"/>
    <x v="3"/>
    <n v="32"/>
    <x v="0"/>
    <n v="9"/>
    <s v="Very Low"/>
    <d v="2026-03-15T00:00:00"/>
    <x v="3"/>
    <s v="ADPT0139 | Oreo Delight"/>
    <x v="0"/>
    <n v="28"/>
    <s v="Sept"/>
    <n v="2018"/>
  </r>
  <r>
    <s v="ADPT0140"/>
    <s v="Anaya Agarwal"/>
    <x v="1"/>
    <x v="2"/>
    <x v="135"/>
    <x v="0"/>
    <x v="0"/>
    <n v="51100"/>
    <x v="0"/>
    <n v="32"/>
    <x v="0"/>
    <n v="10"/>
    <s v="Very Low"/>
    <d v="2026-03-15T00:00:00"/>
    <x v="1"/>
    <s v="ADPT0140 | Anaya Agarwal"/>
    <x v="0"/>
    <n v="11"/>
    <s v="May"/>
    <n v="2022"/>
  </r>
  <r>
    <s v="ADPT0141"/>
    <s v="Krish Rawat"/>
    <x v="0"/>
    <x v="1"/>
    <x v="136"/>
    <x v="0"/>
    <x v="9"/>
    <n v="73200"/>
    <x v="3"/>
    <n v="31"/>
    <x v="0"/>
    <n v="12"/>
    <s v="Low"/>
    <d v="2026-03-15T00:00:00"/>
    <x v="4"/>
    <s v="ADPT0141 | Krish Rawat"/>
    <x v="0"/>
    <n v="24"/>
    <s v="Sept"/>
    <n v="2021"/>
  </r>
  <r>
    <s v="ADPT0142"/>
    <s v="Siya Sharma"/>
    <x v="1"/>
    <x v="0"/>
    <x v="137"/>
    <x v="0"/>
    <x v="4"/>
    <n v="77800"/>
    <x v="3"/>
    <n v="29"/>
    <x v="0"/>
    <n v="6"/>
    <s v="Very Low"/>
    <d v="2026-03-15T00:00:00"/>
    <x v="0"/>
    <s v="ADPT0142 | Siya Sharma"/>
    <x v="0"/>
    <n v="17"/>
    <s v="Dec"/>
    <n v="2020"/>
  </r>
  <r>
    <s v="ADPT0143"/>
    <s v="Kabir Trivedi"/>
    <x v="0"/>
    <x v="2"/>
    <x v="138"/>
    <x v="2"/>
    <x v="5"/>
    <n v="45500"/>
    <x v="0"/>
    <n v="36"/>
    <x v="1"/>
    <n v="20"/>
    <s v="Low"/>
    <d v="2026-03-15T00:00:00"/>
    <x v="1"/>
    <s v="ADPT0143 | Kabir Trivedi"/>
    <x v="1"/>
    <n v="8"/>
    <s v="Feb"/>
    <n v="2023"/>
  </r>
  <r>
    <s v="ADPT0144"/>
    <s v="Rhea Malhotra"/>
    <x v="1"/>
    <x v="1"/>
    <x v="139"/>
    <x v="0"/>
    <x v="6"/>
    <n v="41800"/>
    <x v="0"/>
    <n v="31"/>
    <x v="0"/>
    <n v="18"/>
    <s v="Low"/>
    <d v="2026-03-15T00:00:00"/>
    <x v="4"/>
    <s v="ADPT0144 | Rhea Malhotra"/>
    <x v="0"/>
    <n v="24"/>
    <s v="Jul"/>
    <n v="2021"/>
  </r>
  <r>
    <s v="ADPT0145"/>
    <s v="Advait Kapoor"/>
    <x v="0"/>
    <x v="0"/>
    <x v="140"/>
    <x v="1"/>
    <x v="2"/>
    <n v="32600"/>
    <x v="1"/>
    <n v="29"/>
    <x v="0"/>
    <n v="37"/>
    <s v="Very High"/>
    <d v="2026-03-15T00:00:00"/>
    <x v="2"/>
    <s v="ADPT0145 | Advait Kapoor"/>
    <x v="2"/>
    <n v="17"/>
    <s v="Nov"/>
    <n v="2019"/>
  </r>
  <r>
    <s v="ADPT0146"/>
    <s v="Zagnut Nut"/>
    <x v="0"/>
    <x v="3"/>
    <x v="141"/>
    <x v="1"/>
    <x v="1"/>
    <n v="37600"/>
    <x v="1"/>
    <n v="31"/>
    <x v="0"/>
    <n v="9"/>
    <s v="Very Low"/>
    <d v="2026-03-15T00:00:00"/>
    <x v="3"/>
    <s v="ADPT0146 | Zagnut Nut"/>
    <x v="1"/>
    <n v="10"/>
    <s v="Oct"/>
    <n v="2018"/>
  </r>
  <r>
    <s v="ADPT0147"/>
    <s v="Anika Joshi"/>
    <x v="1"/>
    <x v="2"/>
    <x v="142"/>
    <x v="0"/>
    <x v="7"/>
    <n v="59500"/>
    <x v="2"/>
    <n v="61"/>
    <x v="2"/>
    <n v="18"/>
    <s v="Low"/>
    <d v="2026-03-15T00:00:00"/>
    <x v="2"/>
    <s v="ADPT0147 | Anika Joshi"/>
    <x v="0"/>
    <n v="3"/>
    <s v="Feb"/>
    <n v="2020"/>
  </r>
  <r>
    <s v="ADPT0148"/>
    <s v="Zara Verma"/>
    <x v="1"/>
    <x v="1"/>
    <x v="143"/>
    <x v="1"/>
    <x v="8"/>
    <n v="82400"/>
    <x v="3"/>
    <n v="34"/>
    <x v="0"/>
    <n v="14"/>
    <s v="Low"/>
    <d v="2026-03-15T00:00:00"/>
    <x v="2"/>
    <s v="ADPT0148 | Zara Verma"/>
    <x v="0"/>
    <n v="27"/>
    <s v="Jul"/>
    <n v="2019"/>
  </r>
  <r>
    <s v="ADPT0149"/>
    <s v="Dev Chawla"/>
    <x v="0"/>
    <x v="0"/>
    <x v="144"/>
    <x v="0"/>
    <x v="0"/>
    <n v="51300"/>
    <x v="0"/>
    <n v="33"/>
    <x v="0"/>
    <n v="23"/>
    <s v="High"/>
    <d v="2026-03-15T00:00:00"/>
    <x v="4"/>
    <s v="ADPT0149 | Dev Chawla"/>
    <x v="0"/>
    <n v="20"/>
    <s v="Nov"/>
    <n v="2021"/>
  </r>
  <r>
    <s v="ADPT0150"/>
    <s v="Pari Gupta"/>
    <x v="1"/>
    <x v="3"/>
    <x v="145"/>
    <x v="0"/>
    <x v="3"/>
    <n v="61200"/>
    <x v="2"/>
    <n v="44"/>
    <x v="1"/>
    <n v="14"/>
    <s v="Low"/>
    <d v="2026-03-15T00:00:00"/>
    <x v="0"/>
    <s v="ADPT0150 | Pari Gupta"/>
    <x v="0"/>
    <n v="13"/>
    <s v="May"/>
    <n v="2020"/>
  </r>
  <r>
    <s v="ADPT0151"/>
    <s v="Aanya Singh"/>
    <x v="1"/>
    <x v="2"/>
    <x v="146"/>
    <x v="1"/>
    <x v="4"/>
    <n v="78200"/>
    <x v="3"/>
    <n v="28"/>
    <x v="0"/>
    <n v="21"/>
    <s v="High"/>
    <d v="2026-03-15T00:00:00"/>
    <x v="2"/>
    <s v="ADPT0151 | Aanya Singh"/>
    <x v="0"/>
    <n v="6"/>
    <s v="Aug"/>
    <n v="2019"/>
  </r>
  <r>
    <s v="ADPT0152"/>
    <s v="Kiara Bhatia"/>
    <x v="1"/>
    <x v="1"/>
    <x v="147"/>
    <x v="2"/>
    <x v="5"/>
    <n v="48100"/>
    <x v="0"/>
    <n v="37"/>
    <x v="1"/>
    <n v="16"/>
    <s v="Low"/>
    <d v="2026-03-15T00:00:00"/>
    <x v="1"/>
    <s v="ADPT0152 | Kiara Bhatia"/>
    <x v="1"/>
    <n v="1"/>
    <s v="Mar"/>
    <n v="2023"/>
  </r>
  <r>
    <s v="ADPT0153"/>
    <s v="Reyansh Rana"/>
    <x v="0"/>
    <x v="0"/>
    <x v="116"/>
    <x v="0"/>
    <x v="6"/>
    <n v="44000"/>
    <x v="0"/>
    <n v="31"/>
    <x v="0"/>
    <n v="15"/>
    <s v="Low"/>
    <d v="2026-03-15T00:00:00"/>
    <x v="4"/>
    <s v="ADPT0153 | Reyansh Rana"/>
    <x v="0"/>
    <n v="25"/>
    <s v="May"/>
    <n v="2021"/>
  </r>
  <r>
    <s v="ADPT0154"/>
    <s v="Eltin John"/>
    <x v="1"/>
    <x v="2"/>
    <x v="148"/>
    <x v="0"/>
    <x v="2"/>
    <n v="36000"/>
    <x v="1"/>
    <n v="26"/>
    <x v="0"/>
    <n v="15"/>
    <s v="Low"/>
    <d v="2026-03-15T00:00:00"/>
    <x v="0"/>
    <s v="ADPT0154 | Eltin John"/>
    <x v="2"/>
    <n v="17"/>
    <s v="Sept"/>
    <n v="2020"/>
  </r>
  <r>
    <s v="ADPT0155"/>
    <s v="Avani Iyer"/>
    <x v="1"/>
    <x v="1"/>
    <x v="149"/>
    <x v="1"/>
    <x v="1"/>
    <n v="37400"/>
    <x v="1"/>
    <n v="46"/>
    <x v="1"/>
    <n v="20"/>
    <s v="Low"/>
    <d v="2026-03-15T00:00:00"/>
    <x v="2"/>
    <s v="ADPT0155 | Avani Iyer"/>
    <x v="1"/>
    <n v="10"/>
    <s v="Dec"/>
    <n v="2019"/>
  </r>
  <r>
    <s v="ADPT0156"/>
    <s v="Kiaan Shah"/>
    <x v="0"/>
    <x v="0"/>
    <x v="150"/>
    <x v="1"/>
    <x v="7"/>
    <n v="57100"/>
    <x v="2"/>
    <n v="34"/>
    <x v="0"/>
    <n v="16"/>
    <s v="Low"/>
    <d v="2026-03-15T00:00:00"/>
    <x v="3"/>
    <s v="ADPT0156 | Kiaan Shah"/>
    <x v="0"/>
    <n v="3"/>
    <s v="Nov"/>
    <n v="2018"/>
  </r>
  <r>
    <s v="ADPT0157"/>
    <s v="Michael Walkson"/>
    <x v="0"/>
    <x v="3"/>
    <x v="151"/>
    <x v="3"/>
    <x v="8"/>
    <n v="82300"/>
    <x v="3"/>
    <n v="34"/>
    <x v="0"/>
    <n v="18"/>
    <s v="Low"/>
    <d v="2026-03-15T00:00:00"/>
    <x v="5"/>
    <s v="ADPT0157 | Michael Walkson"/>
    <x v="0"/>
    <n v="26"/>
    <s v="Nov"/>
    <n v="2017"/>
  </r>
  <r>
    <s v="ADPT0158"/>
    <s v="Anaya Agarwal"/>
    <x v="1"/>
    <x v="2"/>
    <x v="152"/>
    <x v="2"/>
    <x v="0"/>
    <n v="52900"/>
    <x v="0"/>
    <n v="30"/>
    <x v="0"/>
    <n v="8"/>
    <s v="Very Low"/>
    <d v="2026-03-15T00:00:00"/>
    <x v="6"/>
    <s v="ADPT0158 | Anaya Agarwal"/>
    <x v="0"/>
    <n v="9"/>
    <s v="Apr"/>
    <n v="2023"/>
  </r>
  <r>
    <s v="ADPT0159"/>
    <s v="Krish Rawat"/>
    <x v="0"/>
    <x v="1"/>
    <x v="153"/>
    <x v="0"/>
    <x v="9"/>
    <n v="71100"/>
    <x v="3"/>
    <n v="32"/>
    <x v="0"/>
    <n v="13"/>
    <s v="Low"/>
    <d v="2026-03-15T00:00:00"/>
    <x v="0"/>
    <s v="ADPT0159 | Krish Rawat"/>
    <x v="0"/>
    <n v="2"/>
    <s v="Jun"/>
    <n v="2020"/>
  </r>
  <r>
    <s v="ADPT0160"/>
    <s v="Siya Sharma"/>
    <x v="1"/>
    <x v="0"/>
    <x v="154"/>
    <x v="1"/>
    <x v="4"/>
    <n v="76900"/>
    <x v="3"/>
    <n v="33"/>
    <x v="0"/>
    <n v="17"/>
    <s v="Low"/>
    <d v="2026-03-15T00:00:00"/>
    <x v="2"/>
    <s v="ADPT0160 | Siya Sharma"/>
    <x v="0"/>
    <n v="26"/>
    <s v="Aug"/>
    <n v="2019"/>
  </r>
  <r>
    <s v="ADPT0161"/>
    <s v="Kabir Trivedi"/>
    <x v="0"/>
    <x v="2"/>
    <x v="155"/>
    <x v="0"/>
    <x v="5"/>
    <n v="46400"/>
    <x v="0"/>
    <n v="37"/>
    <x v="1"/>
    <n v="11"/>
    <s v="Low"/>
    <d v="2026-03-15T00:00:00"/>
    <x v="1"/>
    <s v="ADPT0161 | Kabir Trivedi"/>
    <x v="1"/>
    <n v="19"/>
    <s v="Mar"/>
    <n v="2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B5E6FD-02D7-4700-96AF-25CD82F2CB4C}"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taff Educational qualification and Job category" colHeaderCaption="Gender">
  <location ref="AO3:AR20" firstHeaderRow="1" firstDataRow="2" firstDataCol="1"/>
  <pivotFields count="23">
    <pivotField showAll="0"/>
    <pivotField showAll="0"/>
    <pivotField axis="axisCol" showAll="0">
      <items count="3">
        <item x="1"/>
        <item x="0"/>
        <item t="default"/>
      </items>
    </pivotField>
    <pivotField axis="axisRow" showAll="0">
      <items count="5">
        <item x="0"/>
        <item x="1"/>
        <item x="2"/>
        <item x="3"/>
        <item t="default"/>
      </items>
    </pivotField>
    <pivotField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items count="5">
        <item x="2"/>
        <item x="0"/>
        <item x="1"/>
        <item x="3"/>
        <item t="default"/>
      </items>
    </pivotField>
    <pivotField showAll="0"/>
    <pivotField numFmtId="164" showAll="0"/>
    <pivotField showAll="0" sortType="descending">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numFmtId="14" showAll="0"/>
    <pivotField showAll="0"/>
    <pivotField dataField="1" showAll="0"/>
    <pivotField axis="axisRow"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2">
    <field x="3"/>
    <field x="16"/>
  </rowFields>
  <rowItems count="16">
    <i>
      <x/>
    </i>
    <i r="1">
      <x/>
    </i>
    <i r="1">
      <x v="1"/>
    </i>
    <i r="1">
      <x v="2"/>
    </i>
    <i>
      <x v="1"/>
    </i>
    <i r="1">
      <x/>
    </i>
    <i r="1">
      <x v="1"/>
    </i>
    <i r="1">
      <x v="2"/>
    </i>
    <i>
      <x v="2"/>
    </i>
    <i r="1">
      <x/>
    </i>
    <i r="1">
      <x v="1"/>
    </i>
    <i r="1">
      <x v="2"/>
    </i>
    <i>
      <x v="3"/>
    </i>
    <i r="1">
      <x/>
    </i>
    <i r="1">
      <x v="1"/>
    </i>
    <i t="grand">
      <x/>
    </i>
  </rowItems>
  <colFields count="1">
    <field x="2"/>
  </colFields>
  <colItems count="3">
    <i>
      <x/>
    </i>
    <i>
      <x v="1"/>
    </i>
    <i t="grand">
      <x/>
    </i>
  </colItems>
  <dataFields count="1">
    <dataField name="Count of ID (Employee Name)" fld="15" subtotal="count" showDataAs="percentOfCol" baseField="16" baseItem="0" numFmtId="10"/>
  </dataFields>
  <formats count="15">
    <format dxfId="14">
      <pivotArea type="all" dataOnly="0" outline="0" fieldPosition="0"/>
    </format>
    <format dxfId="13">
      <pivotArea outline="0" collapsedLevelsAreSubtotals="1" fieldPosition="0"/>
    </format>
    <format dxfId="12">
      <pivotArea field="5" type="button" dataOnly="0" labelOnly="1" outline="0"/>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field="5" type="button" dataOnly="0" labelOnly="1" outline="0"/>
    </format>
    <format dxfId="7">
      <pivotArea dataOnly="0" labelOnly="1" grandRow="1" outline="0" fieldPosition="0"/>
    </format>
    <format dxfId="6">
      <pivotArea dataOnly="0" labelOnly="1" outline="0" axis="axisValues" fieldPosition="0"/>
    </format>
    <format dxfId="5">
      <pivotArea grandRow="1" outline="0" collapsedLevelsAreSubtotals="1" fieldPosition="0"/>
    </format>
    <format dxfId="4">
      <pivotArea dataOnly="0" labelOnly="1" outline="0" axis="axisValues" fieldPosition="0"/>
    </format>
    <format dxfId="3">
      <pivotArea field="3" type="button" dataOnly="0" labelOnly="1" outline="0" axis="axisRow" fieldPosition="0"/>
    </format>
    <format dxfId="2">
      <pivotArea dataOnly="0" labelOnly="1" fieldPosition="0">
        <references count="1">
          <reference field="16" count="0"/>
        </references>
      </pivotArea>
    </format>
    <format dxfId="1">
      <pivotArea outline="0" collapsedLevelsAreSubtotals="1" fieldPosition="0"/>
    </format>
    <format dxfId="0">
      <pivotArea outline="0" fieldPosition="0">
        <references count="1">
          <reference field="4294967294" count="1">
            <x v="0"/>
          </reference>
        </references>
      </pivotArea>
    </format>
  </formats>
  <chartFormats count="10">
    <chartFormat chart="8" format="0" series="1">
      <pivotArea type="data" outline="0" fieldPosition="0">
        <references count="1">
          <reference field="4294967294" count="1" selected="0">
            <x v="0"/>
          </reference>
        </references>
      </pivotArea>
    </chartFormat>
    <chartFormat chart="15" format="0" series="1">
      <pivotArea type="data" outline="0" fieldPosition="0">
        <references count="2">
          <reference field="4294967294" count="1" selected="0">
            <x v="0"/>
          </reference>
          <reference field="2" count="1" selected="0">
            <x v="0"/>
          </reference>
        </references>
      </pivotArea>
    </chartFormat>
    <chartFormat chart="15" format="1" series="1">
      <pivotArea type="data" outline="0" fieldPosition="0">
        <references count="2">
          <reference field="4294967294" count="1" selected="0">
            <x v="0"/>
          </reference>
          <reference field="2" count="1" selected="0">
            <x v="1"/>
          </reference>
        </references>
      </pivotArea>
    </chartFormat>
    <chartFormat chart="16" format="2" series="1">
      <pivotArea type="data" outline="0" fieldPosition="0">
        <references count="2">
          <reference field="4294967294" count="1" selected="0">
            <x v="0"/>
          </reference>
          <reference field="2" count="1" selected="0">
            <x v="0"/>
          </reference>
        </references>
      </pivotArea>
    </chartFormat>
    <chartFormat chart="16" format="3" series="1">
      <pivotArea type="data" outline="0" fieldPosition="0">
        <references count="2">
          <reference field="4294967294" count="1" selected="0">
            <x v="0"/>
          </reference>
          <reference field="2" count="1" selected="0">
            <x v="1"/>
          </reference>
        </references>
      </pivotArea>
    </chartFormat>
    <chartFormat chart="17" format="4" series="1">
      <pivotArea type="data" outline="0" fieldPosition="0">
        <references count="2">
          <reference field="4294967294" count="1" selected="0">
            <x v="0"/>
          </reference>
          <reference field="2" count="1" selected="0">
            <x v="0"/>
          </reference>
        </references>
      </pivotArea>
    </chartFormat>
    <chartFormat chart="17" format="5" series="1">
      <pivotArea type="data" outline="0" fieldPosition="0">
        <references count="2">
          <reference field="4294967294" count="1" selected="0">
            <x v="0"/>
          </reference>
          <reference field="2" count="1" selected="0">
            <x v="1"/>
          </reference>
        </references>
      </pivotArea>
    </chartFormat>
    <chartFormat chart="24" format="21" series="1">
      <pivotArea type="data" outline="0" fieldPosition="0">
        <references count="2">
          <reference field="4294967294" count="1" selected="0">
            <x v="0"/>
          </reference>
          <reference field="2" count="1" selected="0">
            <x v="0"/>
          </reference>
        </references>
      </pivotArea>
    </chartFormat>
    <chartFormat chart="24" format="22">
      <pivotArea type="data" outline="0" fieldPosition="0">
        <references count="4">
          <reference field="4294967294" count="1" selected="0">
            <x v="0"/>
          </reference>
          <reference field="2" count="1" selected="0">
            <x v="0"/>
          </reference>
          <reference field="3" count="1" selected="0">
            <x v="1"/>
          </reference>
          <reference field="16" count="1" selected="0">
            <x v="2"/>
          </reference>
        </references>
      </pivotArea>
    </chartFormat>
    <chartFormat chart="24" format="23"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780938-6E76-436D-9C10-FCDF7BD0793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Job Title" colHeaderCaption="Job Category">
  <location ref="D3:H15" firstHeaderRow="1" firstDataRow="2" firstDataCol="1"/>
  <pivotFields count="23">
    <pivotField showAll="0"/>
    <pivotField showAll="0"/>
    <pivotField showAll="0"/>
    <pivotField showAll="0"/>
    <pivotField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pivotField axis="axisRow" showAll="0" sortType="descending">
      <items count="11">
        <item x="0"/>
        <item x="9"/>
        <item x="3"/>
        <item x="2"/>
        <item x="8"/>
        <item x="1"/>
        <item x="6"/>
        <item x="7"/>
        <item x="4"/>
        <item x="5"/>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items count="5">
        <item x="0"/>
        <item x="2"/>
        <item x="1"/>
        <item x="3"/>
        <item t="default"/>
      </items>
    </pivotField>
    <pivotField showAll="0"/>
    <pivotField showAll="0"/>
    <pivotField numFmtId="14" showAll="0"/>
    <pivotField showAll="0"/>
    <pivotField dataField="1" showAll="0"/>
    <pivotField axis="axisCol"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11">
    <i>
      <x v="3"/>
    </i>
    <i>
      <x v="5"/>
    </i>
    <i>
      <x v="9"/>
    </i>
    <i>
      <x v="6"/>
    </i>
    <i>
      <x/>
    </i>
    <i>
      <x v="7"/>
    </i>
    <i>
      <x v="4"/>
    </i>
    <i>
      <x v="8"/>
    </i>
    <i>
      <x v="2"/>
    </i>
    <i>
      <x v="1"/>
    </i>
    <i t="grand">
      <x/>
    </i>
  </rowItems>
  <colFields count="1">
    <field x="16"/>
  </colFields>
  <colItems count="4">
    <i>
      <x/>
    </i>
    <i>
      <x v="1"/>
    </i>
    <i>
      <x v="2"/>
    </i>
    <i t="grand">
      <x/>
    </i>
  </colItems>
  <dataFields count="1">
    <dataField name="Count of ID (Employee Name)" fld="15" subtotal="count" baseField="0" baseItem="0"/>
  </dataFields>
  <formats count="21">
    <format dxfId="35">
      <pivotArea type="all" dataOnly="0" outline="0" fieldPosition="0"/>
    </format>
    <format dxfId="34">
      <pivotArea outline="0" collapsedLevelsAreSubtotals="1" fieldPosition="0"/>
    </format>
    <format dxfId="33">
      <pivotArea type="origin" dataOnly="0" labelOnly="1" outline="0" fieldPosition="0"/>
    </format>
    <format dxfId="32">
      <pivotArea field="16" type="button" dataOnly="0" labelOnly="1" outline="0" axis="axisCol" fieldPosition="0"/>
    </format>
    <format dxfId="31">
      <pivotArea type="topRight" dataOnly="0" labelOnly="1" outline="0"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grandRow="1" outline="0" fieldPosition="0"/>
    </format>
    <format dxfId="27">
      <pivotArea dataOnly="0" labelOnly="1" fieldPosition="0">
        <references count="1">
          <reference field="16" count="0"/>
        </references>
      </pivotArea>
    </format>
    <format dxfId="26">
      <pivotArea dataOnly="0" labelOnly="1" grandCol="1" outline="0" fieldPosition="0"/>
    </format>
    <format dxfId="25">
      <pivotArea type="all" dataOnly="0" outline="0" fieldPosition="0"/>
    </format>
    <format dxfId="24">
      <pivotArea type="origin" dataOnly="0" labelOnly="1" outline="0" fieldPosition="0"/>
    </format>
    <format dxfId="23">
      <pivotArea field="16" type="button" dataOnly="0" labelOnly="1" outline="0" axis="axisCol" fieldPosition="0"/>
    </format>
    <format dxfId="22">
      <pivotArea type="topRight" dataOnly="0" labelOnly="1" outline="0" fieldPosition="0"/>
    </format>
    <format dxfId="21">
      <pivotArea field="6" type="button" dataOnly="0" labelOnly="1" outline="0" axis="axisRow" fieldPosition="0"/>
    </format>
    <format dxfId="20">
      <pivotArea dataOnly="0" labelOnly="1" grandRow="1" outline="0" fieldPosition="0"/>
    </format>
    <format dxfId="19">
      <pivotArea dataOnly="0" labelOnly="1" fieldPosition="0">
        <references count="1">
          <reference field="16" count="0"/>
        </references>
      </pivotArea>
    </format>
    <format dxfId="18">
      <pivotArea dataOnly="0" labelOnly="1" grandCol="1" outline="0" fieldPosition="0"/>
    </format>
    <format dxfId="17">
      <pivotArea outline="0" collapsedLevelsAreSubtotals="1" fieldPosition="0"/>
    </format>
    <format dxfId="16">
      <pivotArea dataOnly="0" labelOnly="1" fieldPosition="0">
        <references count="1">
          <reference field="6" count="0"/>
        </references>
      </pivotArea>
    </format>
    <format dxfId="15">
      <pivotArea type="origin" dataOnly="0" labelOnly="1" outline="0"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35" series="1">
      <pivotArea type="data" outline="0" fieldPosition="0">
        <references count="2">
          <reference field="4294967294" count="1" selected="0">
            <x v="0"/>
          </reference>
          <reference field="16" count="1" selected="0">
            <x v="0"/>
          </reference>
        </references>
      </pivotArea>
    </chartFormat>
    <chartFormat chart="14" format="36" series="1">
      <pivotArea type="data" outline="0" fieldPosition="0">
        <references count="2">
          <reference field="4294967294" count="1" selected="0">
            <x v="0"/>
          </reference>
          <reference field="16" count="1" selected="0">
            <x v="1"/>
          </reference>
        </references>
      </pivotArea>
    </chartFormat>
    <chartFormat chart="14" format="37"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20BF51-22FB-4EC6-B7DA-49E7FEECBD51}" name="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Tenure">
  <location ref="A3:B11" firstHeaderRow="1" firstDataRow="1" firstDataCol="1"/>
  <pivotFields count="23">
    <pivotField showAll="0"/>
    <pivotField showAll="0"/>
    <pivotField showAll="0"/>
    <pivotField showAll="0"/>
    <pivotField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pivotField showAll="0"/>
    <pivotField numFmtId="164" showAll="0"/>
    <pivotField showAll="0"/>
    <pivotField showAll="0"/>
    <pivotField showAll="0">
      <items count="5">
        <item x="0"/>
        <item x="2"/>
        <item x="1"/>
        <item x="3"/>
        <item t="default"/>
      </items>
    </pivotField>
    <pivotField showAll="0"/>
    <pivotField showAll="0"/>
    <pivotField numFmtId="14" showAll="0"/>
    <pivotField axis="axisRow" showAll="0" sortType="descending">
      <items count="8">
        <item x="6"/>
        <item x="1"/>
        <item x="4"/>
        <item x="0"/>
        <item x="2"/>
        <item x="3"/>
        <item x="5"/>
        <item t="default"/>
      </items>
      <autoSortScope>
        <pivotArea dataOnly="0" outline="0" fieldPosition="0">
          <references count="1">
            <reference field="4294967294" count="1" selected="0">
              <x v="0"/>
            </reference>
          </references>
        </pivotArea>
      </autoSortScope>
    </pivotField>
    <pivotField dataField="1" showAll="0"/>
    <pivotField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4"/>
  </rowFields>
  <rowItems count="8">
    <i>
      <x v="4"/>
    </i>
    <i>
      <x v="2"/>
    </i>
    <i>
      <x v="1"/>
    </i>
    <i>
      <x v="5"/>
    </i>
    <i>
      <x v="3"/>
    </i>
    <i>
      <x v="6"/>
    </i>
    <i>
      <x/>
    </i>
    <i t="grand">
      <x/>
    </i>
  </rowItems>
  <colItems count="1">
    <i/>
  </colItems>
  <dataFields count="1">
    <dataField name="Count of ID (Employee Name)" fld="15" subtotal="count" baseField="0" baseItem="0"/>
  </dataFields>
  <formats count="13">
    <format dxfId="48">
      <pivotArea type="all" dataOnly="0" outline="0" fieldPosition="0"/>
    </format>
    <format dxfId="47">
      <pivotArea outline="0" collapsedLevelsAreSubtotals="1" fieldPosition="0"/>
    </format>
    <format dxfId="46">
      <pivotArea field="14" type="button" dataOnly="0" labelOnly="1" outline="0" axis="axisRow" fieldPosition="0"/>
    </format>
    <format dxfId="45">
      <pivotArea dataOnly="0" labelOnly="1" fieldPosition="0">
        <references count="1">
          <reference field="14" count="0"/>
        </references>
      </pivotArea>
    </format>
    <format dxfId="44">
      <pivotArea dataOnly="0" labelOnly="1" grandRow="1" outline="0" fieldPosition="0"/>
    </format>
    <format dxfId="43">
      <pivotArea dataOnly="0" labelOnly="1" outline="0" axis="axisValues" fieldPosition="0"/>
    </format>
    <format dxfId="42">
      <pivotArea type="all" dataOnly="0" outline="0" fieldPosition="0"/>
    </format>
    <format dxfId="41">
      <pivotArea field="14" type="button" dataOnly="0" labelOnly="1" outline="0" axis="axisRow" fieldPosition="0"/>
    </format>
    <format dxfId="40">
      <pivotArea dataOnly="0" labelOnly="1" grandRow="1" outline="0" fieldPosition="0"/>
    </format>
    <format dxfId="39">
      <pivotArea dataOnly="0" labelOnly="1" outline="0" axis="axisValues" fieldPosition="0"/>
    </format>
    <format dxfId="38">
      <pivotArea outline="0" collapsedLevelsAreSubtotals="1" fieldPosition="0"/>
    </format>
    <format dxfId="37">
      <pivotArea dataOnly="0" labelOnly="1" fieldPosition="0">
        <references count="1">
          <reference field="14" count="0"/>
        </references>
      </pivotArea>
    </format>
    <format dxfId="36">
      <pivotArea dataOnly="0" labelOnly="1" outline="0" axis="axisValues" fieldPosition="0"/>
    </format>
  </formats>
  <chartFormats count="8">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14" count="1" selected="0">
            <x v="4"/>
          </reference>
        </references>
      </pivotArea>
    </chartFormat>
    <chartFormat chart="10" format="21">
      <pivotArea type="data" outline="0" fieldPosition="0">
        <references count="2">
          <reference field="4294967294" count="1" selected="0">
            <x v="0"/>
          </reference>
          <reference field="14" count="1" selected="0">
            <x v="2"/>
          </reference>
        </references>
      </pivotArea>
    </chartFormat>
    <chartFormat chart="10" format="22">
      <pivotArea type="data" outline="0" fieldPosition="0">
        <references count="2">
          <reference field="4294967294" count="1" selected="0">
            <x v="0"/>
          </reference>
          <reference field="14" count="1" selected="0">
            <x v="1"/>
          </reference>
        </references>
      </pivotArea>
    </chartFormat>
    <chartFormat chart="10" format="23">
      <pivotArea type="data" outline="0" fieldPosition="0">
        <references count="2">
          <reference field="4294967294" count="1" selected="0">
            <x v="0"/>
          </reference>
          <reference field="14" count="1" selected="0">
            <x v="5"/>
          </reference>
        </references>
      </pivotArea>
    </chartFormat>
    <chartFormat chart="10" format="24">
      <pivotArea type="data" outline="0" fieldPosition="0">
        <references count="2">
          <reference field="4294967294" count="1" selected="0">
            <x v="0"/>
          </reference>
          <reference field="14" count="1" selected="0">
            <x v="3"/>
          </reference>
        </references>
      </pivotArea>
    </chartFormat>
    <chartFormat chart="10" format="25">
      <pivotArea type="data" outline="0" fieldPosition="0">
        <references count="2">
          <reference field="4294967294" count="1" selected="0">
            <x v="0"/>
          </reference>
          <reference field="14" count="1" selected="0">
            <x v="6"/>
          </reference>
        </references>
      </pivotArea>
    </chartFormat>
    <chartFormat chart="10" format="26">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82F2EB-852D-4331-B410-BD559AA0A83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taff Level">
  <location ref="P3:Q8" firstHeaderRow="1" firstDataRow="1" firstDataCol="1"/>
  <pivotFields count="23">
    <pivotField showAll="0"/>
    <pivotField showAll="0"/>
    <pivotField showAll="0"/>
    <pivotField showAll="0"/>
    <pivotField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items count="5">
        <item x="0"/>
        <item x="2"/>
        <item x="1"/>
        <item x="3"/>
        <item t="default"/>
      </items>
    </pivotField>
    <pivotField showAll="0"/>
    <pivotField showAll="0"/>
    <pivotField numFmtId="14" showAll="0"/>
    <pivotField showAll="0"/>
    <pivotField dataField="1" showAll="0"/>
    <pivotField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5"/>
  </rowFields>
  <rowItems count="5">
    <i>
      <x v="1"/>
    </i>
    <i>
      <x v="2"/>
    </i>
    <i>
      <x/>
    </i>
    <i>
      <x v="3"/>
    </i>
    <i t="grand">
      <x/>
    </i>
  </rowItems>
  <colItems count="1">
    <i/>
  </colItems>
  <dataFields count="1">
    <dataField name="Count of ID (Employee Name)" fld="15" subtotal="count" baseField="0" baseItem="0"/>
  </dataFields>
  <formats count="15">
    <format dxfId="63">
      <pivotArea type="all" dataOnly="0" outline="0" fieldPosition="0"/>
    </format>
    <format dxfId="62">
      <pivotArea outline="0" collapsedLevelsAreSubtotals="1" fieldPosition="0"/>
    </format>
    <format dxfId="61">
      <pivotArea field="5" type="button" dataOnly="0" labelOnly="1" outline="0" axis="axisRow" fieldPosition="0"/>
    </format>
    <format dxfId="60">
      <pivotArea dataOnly="0" labelOnly="1" fieldPosition="0">
        <references count="1">
          <reference field="5" count="0"/>
        </references>
      </pivotArea>
    </format>
    <format dxfId="59">
      <pivotArea dataOnly="0" labelOnly="1" grandRow="1" outline="0"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5" type="button" dataOnly="0" labelOnly="1" outline="0" axis="axisRow" fieldPosition="0"/>
    </format>
    <format dxfId="54">
      <pivotArea dataOnly="0" labelOnly="1" grandRow="1" outline="0" fieldPosition="0"/>
    </format>
    <format dxfId="53">
      <pivotArea dataOnly="0" labelOnly="1" outline="0" axis="axisValues" fieldPosition="0"/>
    </format>
    <format dxfId="52">
      <pivotArea collapsedLevelsAreSubtotals="1" fieldPosition="0">
        <references count="1">
          <reference field="5" count="0"/>
        </references>
      </pivotArea>
    </format>
    <format dxfId="51">
      <pivotArea dataOnly="0" labelOnly="1" fieldPosition="0">
        <references count="1">
          <reference field="5" count="0"/>
        </references>
      </pivotArea>
    </format>
    <format dxfId="50">
      <pivotArea grandRow="1" outline="0" collapsedLevelsAreSubtotals="1" fieldPosition="0"/>
    </format>
    <format dxfId="4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5E2A08-340D-4B20-99BF-5B49352B20B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Educational Qualification">
  <location ref="M3:N8" firstHeaderRow="1" firstDataRow="1" firstDataCol="1"/>
  <pivotFields count="23">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pivotField showAll="0"/>
    <pivotField numFmtId="164" showAll="0"/>
    <pivotField showAll="0"/>
    <pivotField showAll="0"/>
    <pivotField showAll="0">
      <items count="5">
        <item x="0"/>
        <item x="2"/>
        <item x="1"/>
        <item x="3"/>
        <item t="default"/>
      </items>
    </pivotField>
    <pivotField showAll="0"/>
    <pivotField showAll="0"/>
    <pivotField numFmtId="14" showAll="0"/>
    <pivotField showAll="0"/>
    <pivotField dataField="1" showAll="0"/>
    <pivotField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3"/>
  </rowFields>
  <rowItems count="5">
    <i>
      <x/>
    </i>
    <i>
      <x v="2"/>
    </i>
    <i>
      <x v="1"/>
    </i>
    <i>
      <x v="3"/>
    </i>
    <i t="grand">
      <x/>
    </i>
  </rowItems>
  <colItems count="1">
    <i/>
  </colItems>
  <dataFields count="1">
    <dataField name="Count of ID (Employee Name)" fld="15" subtotal="count" baseField="0" baseItem="0"/>
  </dataFields>
  <formats count="14">
    <format dxfId="77">
      <pivotArea type="all" dataOnly="0" outline="0" fieldPosition="0"/>
    </format>
    <format dxfId="76">
      <pivotArea outline="0" collapsedLevelsAreSubtotals="1" fieldPosition="0"/>
    </format>
    <format dxfId="75">
      <pivotArea field="3" type="button" dataOnly="0" labelOnly="1" outline="0" axis="axisRow" fieldPosition="0"/>
    </format>
    <format dxfId="74">
      <pivotArea dataOnly="0" labelOnly="1" fieldPosition="0">
        <references count="1">
          <reference field="3" count="0"/>
        </references>
      </pivotArea>
    </format>
    <format dxfId="73">
      <pivotArea dataOnly="0" labelOnly="1" grandRow="1" outline="0" fieldPosition="0"/>
    </format>
    <format dxfId="72">
      <pivotArea dataOnly="0" labelOnly="1" outline="0" axis="axisValues" fieldPosition="0"/>
    </format>
    <format dxfId="71">
      <pivotArea type="all" dataOnly="0" outline="0" fieldPosition="0"/>
    </format>
    <format dxfId="70">
      <pivotArea field="3" type="button" dataOnly="0" labelOnly="1" outline="0" axis="axisRow" fieldPosition="0"/>
    </format>
    <format dxfId="69">
      <pivotArea dataOnly="0" labelOnly="1" grandRow="1" outline="0" fieldPosition="0"/>
    </format>
    <format dxfId="68">
      <pivotArea dataOnly="0" labelOnly="1" outline="0" axis="axisValues" fieldPosition="0"/>
    </format>
    <format dxfId="67">
      <pivotArea outline="0" collapsedLevelsAreSubtotals="1" fieldPosition="0"/>
    </format>
    <format dxfId="66">
      <pivotArea dataOnly="0" labelOnly="1" fieldPosition="0">
        <references count="1">
          <reference field="3" count="0"/>
        </references>
      </pivotArea>
    </format>
    <format dxfId="65">
      <pivotArea field="3" type="button" dataOnly="0" labelOnly="1" outline="0" axis="axisRow" fieldPosition="0"/>
    </format>
    <format dxfId="6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975C4A-F3AB-43FA-B25A-FAB72EAE572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Salary Range">
  <location ref="AK3:AM8" firstHeaderRow="0" firstDataRow="1" firstDataCol="1"/>
  <pivotFields count="23">
    <pivotField showAll="0"/>
    <pivotField showAll="0"/>
    <pivotField showAll="0"/>
    <pivotField showAll="0"/>
    <pivotField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items count="5">
        <item x="2"/>
        <item x="0"/>
        <item x="1"/>
        <item x="3"/>
        <item t="default"/>
      </items>
    </pivotField>
    <pivotField showAll="0"/>
    <pivotField dataField="1" numFmtId="164" showAll="0"/>
    <pivotField axis="axisRow" showAll="0" sortType="descending">
      <items count="5">
        <item x="2"/>
        <item x="0"/>
        <item x="3"/>
        <item x="1"/>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numFmtId="14" showAll="0"/>
    <pivotField showAll="0"/>
    <pivotField dataField="1" showAll="0"/>
    <pivotField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8"/>
  </rowFields>
  <rowItems count="5">
    <i>
      <x v="1"/>
    </i>
    <i>
      <x v="3"/>
    </i>
    <i>
      <x v="2"/>
    </i>
    <i>
      <x/>
    </i>
    <i t="grand">
      <x/>
    </i>
  </rowItems>
  <colFields count="1">
    <field x="-2"/>
  </colFields>
  <colItems count="2">
    <i>
      <x/>
    </i>
    <i i="1">
      <x v="1"/>
    </i>
  </colItems>
  <dataFields count="2">
    <dataField name="Count of ID (Employee Name)" fld="15" subtotal="count" baseField="0" baseItem="0"/>
    <dataField name="Sum of Salary" fld="7" baseField="8" baseItem="0" numFmtId="164"/>
  </dataFields>
  <formats count="15">
    <format dxfId="92">
      <pivotArea type="all" dataOnly="0" outline="0" fieldPosition="0"/>
    </format>
    <format dxfId="91">
      <pivotArea outline="0" collapsedLevelsAreSubtotals="1" fieldPosition="0"/>
    </format>
    <format dxfId="90">
      <pivotArea field="5" type="button" dataOnly="0" labelOnly="1" outline="0"/>
    </format>
    <format dxfId="89">
      <pivotArea dataOnly="0" labelOnly="1" grandRow="1" outline="0" fieldPosition="0"/>
    </format>
    <format dxfId="88">
      <pivotArea dataOnly="0" labelOnly="1" outline="0" axis="axisValues" fieldPosition="0"/>
    </format>
    <format dxfId="87">
      <pivotArea type="all" dataOnly="0" outline="0" fieldPosition="0"/>
    </format>
    <format dxfId="86">
      <pivotArea outline="0" collapsedLevelsAreSubtotals="1" fieldPosition="0"/>
    </format>
    <format dxfId="85">
      <pivotArea field="5" type="button" dataOnly="0" labelOnly="1" outline="0"/>
    </format>
    <format dxfId="84">
      <pivotArea dataOnly="0" labelOnly="1" grandRow="1" outline="0" fieldPosition="0"/>
    </format>
    <format dxfId="83">
      <pivotArea dataOnly="0" labelOnly="1" outline="0" axis="axisValues" fieldPosition="0"/>
    </format>
    <format dxfId="82">
      <pivotArea grandRow="1" outline="0" collapsedLevelsAreSubtotals="1" fieldPosition="0"/>
    </format>
    <format dxfId="81">
      <pivotArea dataOnly="0" labelOnly="1" outline="0" axis="axisValues" fieldPosition="0"/>
    </format>
    <format dxfId="80">
      <pivotArea dataOnly="0" labelOnly="1" outline="0" fieldPosition="0">
        <references count="1">
          <reference field="4294967294" count="1">
            <x v="0"/>
          </reference>
        </references>
      </pivotArea>
    </format>
    <format dxfId="79">
      <pivotArea dataOnly="0" labelOnly="1" fieldPosition="0">
        <references count="1">
          <reference field="8" count="0"/>
        </references>
      </pivotArea>
    </format>
    <format dxfId="78">
      <pivotArea collapsedLevelsAreSubtotals="1" fieldPosition="0">
        <references count="1">
          <reference field="8" count="0"/>
        </references>
      </pivotArea>
    </format>
  </formats>
  <chartFormats count="8">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0"/>
          </reference>
        </references>
      </pivotArea>
    </chartFormat>
    <chartFormat chart="2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9B616C-D6E1-4D43-AC9E-291B2C75299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rowHeaderCaption="Month of Join" colHeaderCaption="Year of Join">
  <location ref="S3:AA17" firstHeaderRow="1" firstDataRow="2" firstDataCol="1"/>
  <pivotFields count="23">
    <pivotField showAll="0"/>
    <pivotField showAll="0"/>
    <pivotField showAll="0"/>
    <pivotField showAll="0"/>
    <pivotField axis="axisRow"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pivotField showAll="0"/>
    <pivotField numFmtId="164" showAll="0"/>
    <pivotField showAll="0"/>
    <pivotField showAll="0"/>
    <pivotField showAll="0">
      <items count="5">
        <item x="0"/>
        <item x="2"/>
        <item x="1"/>
        <item x="3"/>
        <item t="default"/>
      </items>
    </pivotField>
    <pivotField showAll="0"/>
    <pivotField showAll="0"/>
    <pivotField numFmtId="14" showAll="0"/>
    <pivotField showAll="0"/>
    <pivotField dataField="1" showAll="0"/>
    <pivotField showAll="0">
      <items count="4">
        <item x="1"/>
        <item x="0"/>
        <item x="2"/>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10">
        <item sd="0" x="0"/>
        <item sd="0" x="1"/>
        <item sd="0" x="2"/>
        <item sd="0" x="3"/>
        <item sd="0" x="4"/>
        <item sd="0" x="5"/>
        <item sd="0" x="6"/>
        <item sd="0" x="7"/>
        <item sd="0" x="8"/>
        <item t="default"/>
      </items>
    </pivotField>
  </pivotFields>
  <rowFields count="2">
    <field x="20"/>
    <field x="4"/>
  </rowFields>
  <rowItems count="13">
    <i>
      <x v="1"/>
    </i>
    <i>
      <x v="2"/>
    </i>
    <i>
      <x v="3"/>
    </i>
    <i>
      <x v="4"/>
    </i>
    <i>
      <x v="5"/>
    </i>
    <i>
      <x v="6"/>
    </i>
    <i>
      <x v="7"/>
    </i>
    <i>
      <x v="8"/>
    </i>
    <i>
      <x v="9"/>
    </i>
    <i>
      <x v="10"/>
    </i>
    <i>
      <x v="11"/>
    </i>
    <i>
      <x v="12"/>
    </i>
    <i t="grand">
      <x/>
    </i>
  </rowItems>
  <colFields count="1">
    <field x="22"/>
  </colFields>
  <colItems count="8">
    <i>
      <x v="1"/>
    </i>
    <i>
      <x v="2"/>
    </i>
    <i>
      <x v="3"/>
    </i>
    <i>
      <x v="4"/>
    </i>
    <i>
      <x v="5"/>
    </i>
    <i>
      <x v="6"/>
    </i>
    <i>
      <x v="7"/>
    </i>
    <i t="grand">
      <x/>
    </i>
  </colItems>
  <dataFields count="1">
    <dataField name="Count of Employee on the Date of Join" fld="15" subtotal="count" baseField="0" baseItem="0"/>
  </dataFields>
  <formats count="24">
    <format dxfId="116">
      <pivotArea type="origin" dataOnly="0" labelOnly="1" outline="0" fieldPosition="0"/>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22" type="button" dataOnly="0" labelOnly="1" outline="0" axis="axisCol" fieldPosition="0"/>
    </format>
    <format dxfId="111">
      <pivotArea type="topRight" dataOnly="0" labelOnly="1" outline="0" fieldPosition="0"/>
    </format>
    <format dxfId="110">
      <pivotArea field="20" type="button" dataOnly="0" labelOnly="1" outline="0" axis="axisRow" fieldPosition="0"/>
    </format>
    <format dxfId="109">
      <pivotArea dataOnly="0" labelOnly="1" fieldPosition="0">
        <references count="1">
          <reference field="20" count="12">
            <x v="1"/>
            <x v="2"/>
            <x v="3"/>
            <x v="4"/>
            <x v="5"/>
            <x v="6"/>
            <x v="7"/>
            <x v="8"/>
            <x v="9"/>
            <x v="10"/>
            <x v="11"/>
            <x v="12"/>
          </reference>
        </references>
      </pivotArea>
    </format>
    <format dxfId="108">
      <pivotArea dataOnly="0" labelOnly="1" grandRow="1" outline="0" fieldPosition="0"/>
    </format>
    <format dxfId="107">
      <pivotArea dataOnly="0" labelOnly="1" fieldPosition="0">
        <references count="1">
          <reference field="22" count="7">
            <x v="1"/>
            <x v="2"/>
            <x v="3"/>
            <x v="4"/>
            <x v="5"/>
            <x v="6"/>
            <x v="7"/>
          </reference>
        </references>
      </pivotArea>
    </format>
    <format dxfId="106">
      <pivotArea dataOnly="0" labelOnly="1" grandCol="1" outline="0" fieldPosition="0"/>
    </format>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22" type="button" dataOnly="0" labelOnly="1" outline="0" axis="axisCol" fieldPosition="0"/>
    </format>
    <format dxfId="101">
      <pivotArea type="topRight" dataOnly="0" labelOnly="1" outline="0" fieldPosition="0"/>
    </format>
    <format dxfId="100">
      <pivotArea field="20" type="button" dataOnly="0" labelOnly="1" outline="0" axis="axisRow" fieldPosition="0"/>
    </format>
    <format dxfId="99">
      <pivotArea dataOnly="0" labelOnly="1" grandRow="1" outline="0" fieldPosition="0"/>
    </format>
    <format dxfId="98">
      <pivotArea dataOnly="0" labelOnly="1" fieldPosition="0">
        <references count="1">
          <reference field="22" count="7">
            <x v="1"/>
            <x v="2"/>
            <x v="3"/>
            <x v="4"/>
            <x v="5"/>
            <x v="6"/>
            <x v="7"/>
          </reference>
        </references>
      </pivotArea>
    </format>
    <format dxfId="97">
      <pivotArea dataOnly="0" labelOnly="1" grandCol="1" outline="0" fieldPosition="0"/>
    </format>
    <format dxfId="96">
      <pivotArea dataOnly="0" labelOnly="1" fieldPosition="0">
        <references count="1">
          <reference field="20" count="12">
            <x v="1"/>
            <x v="2"/>
            <x v="3"/>
            <x v="4"/>
            <x v="5"/>
            <x v="6"/>
            <x v="7"/>
            <x v="8"/>
            <x v="9"/>
            <x v="10"/>
            <x v="11"/>
            <x v="12"/>
          </reference>
        </references>
      </pivotArea>
    </format>
    <format dxfId="95">
      <pivotArea collapsedLevelsAreSubtotals="1" fieldPosition="0">
        <references count="1">
          <reference field="20" count="12">
            <x v="1"/>
            <x v="2"/>
            <x v="3"/>
            <x v="4"/>
            <x v="5"/>
            <x v="6"/>
            <x v="7"/>
            <x v="8"/>
            <x v="9"/>
            <x v="10"/>
            <x v="11"/>
            <x v="12"/>
          </reference>
        </references>
      </pivotArea>
    </format>
    <format dxfId="94">
      <pivotArea grandRow="1" outline="0" collapsedLevelsAreSubtotals="1" fieldPosition="0"/>
    </format>
    <format dxfId="93">
      <pivotArea field="22" type="button" dataOnly="0" labelOnly="1" outline="0" axis="axisCol" fieldPosition="0"/>
    </format>
  </formats>
  <chartFormats count="2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3" format="55" series="1">
      <pivotArea type="data" outline="0" fieldPosition="0">
        <references count="2">
          <reference field="4294967294" count="1" selected="0">
            <x v="0"/>
          </reference>
          <reference field="22" count="1" selected="0">
            <x v="1"/>
          </reference>
        </references>
      </pivotArea>
    </chartFormat>
    <chartFormat chart="23" format="56" series="1">
      <pivotArea type="data" outline="0" fieldPosition="0">
        <references count="2">
          <reference field="4294967294" count="1" selected="0">
            <x v="0"/>
          </reference>
          <reference field="22" count="1" selected="0">
            <x v="2"/>
          </reference>
        </references>
      </pivotArea>
    </chartFormat>
    <chartFormat chart="23" format="57" series="1">
      <pivotArea type="data" outline="0" fieldPosition="0">
        <references count="2">
          <reference field="4294967294" count="1" selected="0">
            <x v="0"/>
          </reference>
          <reference field="22" count="1" selected="0">
            <x v="3"/>
          </reference>
        </references>
      </pivotArea>
    </chartFormat>
    <chartFormat chart="23" format="58" series="1">
      <pivotArea type="data" outline="0" fieldPosition="0">
        <references count="2">
          <reference field="4294967294" count="1" selected="0">
            <x v="0"/>
          </reference>
          <reference field="22" count="1" selected="0">
            <x v="4"/>
          </reference>
        </references>
      </pivotArea>
    </chartFormat>
    <chartFormat chart="23" format="59" series="1">
      <pivotArea type="data" outline="0" fieldPosition="0">
        <references count="2">
          <reference field="4294967294" count="1" selected="0">
            <x v="0"/>
          </reference>
          <reference field="22" count="1" selected="0">
            <x v="5"/>
          </reference>
        </references>
      </pivotArea>
    </chartFormat>
    <chartFormat chart="23" format="60" series="1">
      <pivotArea type="data" outline="0" fieldPosition="0">
        <references count="2">
          <reference field="4294967294" count="1" selected="0">
            <x v="0"/>
          </reference>
          <reference field="22" count="1" selected="0">
            <x v="6"/>
          </reference>
        </references>
      </pivotArea>
    </chartFormat>
    <chartFormat chart="23" format="61" series="1">
      <pivotArea type="data" outline="0" fieldPosition="0">
        <references count="2">
          <reference field="4294967294" count="1" selected="0">
            <x v="0"/>
          </reference>
          <reference field="22" count="1" selected="0">
            <x v="7"/>
          </reference>
        </references>
      </pivotArea>
    </chartFormat>
    <chartFormat chart="24" format="62" series="1">
      <pivotArea type="data" outline="0" fieldPosition="0">
        <references count="2">
          <reference field="4294967294" count="1" selected="0">
            <x v="0"/>
          </reference>
          <reference field="22" count="1" selected="0">
            <x v="1"/>
          </reference>
        </references>
      </pivotArea>
    </chartFormat>
    <chartFormat chart="24" format="63" series="1">
      <pivotArea type="data" outline="0" fieldPosition="0">
        <references count="2">
          <reference field="4294967294" count="1" selected="0">
            <x v="0"/>
          </reference>
          <reference field="22" count="1" selected="0">
            <x v="2"/>
          </reference>
        </references>
      </pivotArea>
    </chartFormat>
    <chartFormat chart="24" format="64" series="1">
      <pivotArea type="data" outline="0" fieldPosition="0">
        <references count="2">
          <reference field="4294967294" count="1" selected="0">
            <x v="0"/>
          </reference>
          <reference field="22" count="1" selected="0">
            <x v="3"/>
          </reference>
        </references>
      </pivotArea>
    </chartFormat>
    <chartFormat chart="24" format="65" series="1">
      <pivotArea type="data" outline="0" fieldPosition="0">
        <references count="2">
          <reference field="4294967294" count="1" selected="0">
            <x v="0"/>
          </reference>
          <reference field="22" count="1" selected="0">
            <x v="4"/>
          </reference>
        </references>
      </pivotArea>
    </chartFormat>
    <chartFormat chart="24" format="66" series="1">
      <pivotArea type="data" outline="0" fieldPosition="0">
        <references count="2">
          <reference field="4294967294" count="1" selected="0">
            <x v="0"/>
          </reference>
          <reference field="22" count="1" selected="0">
            <x v="5"/>
          </reference>
        </references>
      </pivotArea>
    </chartFormat>
    <chartFormat chart="24" format="67" series="1">
      <pivotArea type="data" outline="0" fieldPosition="0">
        <references count="2">
          <reference field="4294967294" count="1" selected="0">
            <x v="0"/>
          </reference>
          <reference field="22" count="1" selected="0">
            <x v="6"/>
          </reference>
        </references>
      </pivotArea>
    </chartFormat>
    <chartFormat chart="24" format="68" series="1">
      <pivotArea type="data" outline="0" fieldPosition="0">
        <references count="2">
          <reference field="4294967294" count="1" selected="0">
            <x v="0"/>
          </reference>
          <reference field="22" count="1" selected="0">
            <x v="7"/>
          </reference>
        </references>
      </pivotArea>
    </chartFormat>
    <chartFormat chart="25" format="62" series="1">
      <pivotArea type="data" outline="0" fieldPosition="0">
        <references count="2">
          <reference field="4294967294" count="1" selected="0">
            <x v="0"/>
          </reference>
          <reference field="22" count="1" selected="0">
            <x v="1"/>
          </reference>
        </references>
      </pivotArea>
    </chartFormat>
    <chartFormat chart="25" format="63" series="1">
      <pivotArea type="data" outline="0" fieldPosition="0">
        <references count="2">
          <reference field="4294967294" count="1" selected="0">
            <x v="0"/>
          </reference>
          <reference field="22" count="1" selected="0">
            <x v="2"/>
          </reference>
        </references>
      </pivotArea>
    </chartFormat>
    <chartFormat chart="25" format="64" series="1">
      <pivotArea type="data" outline="0" fieldPosition="0">
        <references count="2">
          <reference field="4294967294" count="1" selected="0">
            <x v="0"/>
          </reference>
          <reference field="22" count="1" selected="0">
            <x v="3"/>
          </reference>
        </references>
      </pivotArea>
    </chartFormat>
    <chartFormat chart="25" format="65" series="1">
      <pivotArea type="data" outline="0" fieldPosition="0">
        <references count="2">
          <reference field="4294967294" count="1" selected="0">
            <x v="0"/>
          </reference>
          <reference field="22" count="1" selected="0">
            <x v="4"/>
          </reference>
        </references>
      </pivotArea>
    </chartFormat>
    <chartFormat chart="25" format="66" series="1">
      <pivotArea type="data" outline="0" fieldPosition="0">
        <references count="2">
          <reference field="4294967294" count="1" selected="0">
            <x v="0"/>
          </reference>
          <reference field="22" count="1" selected="0">
            <x v="5"/>
          </reference>
        </references>
      </pivotArea>
    </chartFormat>
    <chartFormat chart="25" format="67" series="1">
      <pivotArea type="data" outline="0" fieldPosition="0">
        <references count="2">
          <reference field="4294967294" count="1" selected="0">
            <x v="0"/>
          </reference>
          <reference field="22" count="1" selected="0">
            <x v="6"/>
          </reference>
        </references>
      </pivotArea>
    </chartFormat>
    <chartFormat chart="25" format="68" series="1">
      <pivotArea type="data" outline="0" fieldPosition="0">
        <references count="2">
          <reference field="4294967294" count="1" selected="0">
            <x v="0"/>
          </reference>
          <reference field="2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1955F7-E04D-4088-B1B1-E7067E4ABE3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Gender">
  <location ref="J3:K6" firstHeaderRow="1" firstDataRow="1" firstDataCol="1"/>
  <pivotFields count="23">
    <pivotField showAll="0"/>
    <pivotField showAll="0"/>
    <pivotField axis="axisRow" showAll="0">
      <items count="3">
        <item x="1"/>
        <item x="0"/>
        <item t="default"/>
      </items>
    </pivotField>
    <pivotField showAll="0"/>
    <pivotField numFmtId="14" showAll="0">
      <items count="157">
        <item x="72"/>
        <item x="51"/>
        <item x="118"/>
        <item x="90"/>
        <item x="125"/>
        <item x="18"/>
        <item x="107"/>
        <item x="35"/>
        <item x="100"/>
        <item x="151"/>
        <item x="60"/>
        <item x="4"/>
        <item x="39"/>
        <item x="21"/>
        <item x="30"/>
        <item x="46"/>
        <item x="79"/>
        <item x="111"/>
        <item x="99"/>
        <item x="13"/>
        <item x="129"/>
        <item x="71"/>
        <item x="27"/>
        <item x="141"/>
        <item x="117"/>
        <item x="55"/>
        <item x="150"/>
        <item x="124"/>
        <item x="89"/>
        <item x="106"/>
        <item x="64"/>
        <item x="14"/>
        <item x="31"/>
        <item x="47"/>
        <item x="114"/>
        <item x="110"/>
        <item x="26"/>
        <item x="96"/>
        <item x="70"/>
        <item x="38"/>
        <item x="54"/>
        <item x="9"/>
        <item x="83"/>
        <item x="92"/>
        <item x="143"/>
        <item x="146"/>
        <item x="88"/>
        <item x="80"/>
        <item x="154"/>
        <item x="20"/>
        <item x="103"/>
        <item x="59"/>
        <item x="65"/>
        <item x="121"/>
        <item x="75"/>
        <item x="140"/>
        <item x="3"/>
        <item x="133"/>
        <item x="149"/>
        <item x="128"/>
        <item x="29"/>
        <item x="61"/>
        <item x="34"/>
        <item x="142"/>
        <item x="95"/>
        <item x="41"/>
        <item x="11"/>
        <item x="68"/>
        <item x="44"/>
        <item x="85"/>
        <item x="145"/>
        <item x="153"/>
        <item x="0"/>
        <item x="78"/>
        <item x="102"/>
        <item x="120"/>
        <item x="113"/>
        <item x="74"/>
        <item x="7"/>
        <item x="57"/>
        <item x="127"/>
        <item x="23"/>
        <item x="91"/>
        <item x="50"/>
        <item x="132"/>
        <item x="148"/>
        <item x="109"/>
        <item x="17"/>
        <item x="137"/>
        <item x="22"/>
        <item x="86"/>
        <item x="1"/>
        <item x="33"/>
        <item x="49"/>
        <item x="98"/>
        <item x="134"/>
        <item x="116"/>
        <item x="77"/>
        <item x="105"/>
        <item x="131"/>
        <item x="67"/>
        <item x="139"/>
        <item x="123"/>
        <item x="16"/>
        <item x="63"/>
        <item x="136"/>
        <item x="40"/>
        <item x="94"/>
        <item x="12"/>
        <item x="45"/>
        <item x="8"/>
        <item x="144"/>
        <item x="112"/>
        <item x="56"/>
        <item x="82"/>
        <item x="6"/>
        <item x="130"/>
        <item x="122"/>
        <item x="66"/>
        <item x="104"/>
        <item x="81"/>
        <item x="155"/>
        <item x="19"/>
        <item x="76"/>
        <item x="135"/>
        <item x="87"/>
        <item x="15"/>
        <item x="62"/>
        <item x="48"/>
        <item x="10"/>
        <item x="115"/>
        <item x="2"/>
        <item x="32"/>
        <item x="37"/>
        <item x="25"/>
        <item x="43"/>
        <item x="97"/>
        <item x="53"/>
        <item x="42"/>
        <item x="126"/>
        <item x="69"/>
        <item x="101"/>
        <item x="119"/>
        <item x="138"/>
        <item x="24"/>
        <item x="52"/>
        <item x="73"/>
        <item x="147"/>
        <item x="5"/>
        <item x="36"/>
        <item x="152"/>
        <item x="84"/>
        <item x="93"/>
        <item x="108"/>
        <item x="28"/>
        <item x="58"/>
        <item t="default"/>
      </items>
    </pivotField>
    <pivotField showAll="0"/>
    <pivotField showAll="0"/>
    <pivotField numFmtId="164" showAll="0"/>
    <pivotField showAll="0"/>
    <pivotField showAll="0"/>
    <pivotField showAll="0">
      <items count="5">
        <item x="0"/>
        <item x="2"/>
        <item x="1"/>
        <item x="3"/>
        <item t="default"/>
      </items>
    </pivotField>
    <pivotField showAll="0"/>
    <pivotField showAll="0"/>
    <pivotField numFmtId="14" showAll="0"/>
    <pivotField showAll="0"/>
    <pivotField dataField="1" showAll="0"/>
    <pivotField showAll="0">
      <items count="4">
        <item x="1"/>
        <item x="0"/>
        <item x="2"/>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3">
    <i>
      <x/>
    </i>
    <i>
      <x v="1"/>
    </i>
    <i t="grand">
      <x/>
    </i>
  </rowItems>
  <colItems count="1">
    <i/>
  </colItems>
  <dataFields count="1">
    <dataField name="Count of ID (Employee Name)" fld="15" subtotal="count" baseField="0" baseItem="0"/>
  </dataFields>
  <formats count="13">
    <format dxfId="129">
      <pivotArea type="all" dataOnly="0" outline="0" fieldPosition="0"/>
    </format>
    <format dxfId="128">
      <pivotArea outline="0" collapsedLevelsAreSubtotals="1" fieldPosition="0"/>
    </format>
    <format dxfId="127">
      <pivotArea field="2" type="button" dataOnly="0" labelOnly="1" outline="0" axis="axisRow" fieldPosition="0"/>
    </format>
    <format dxfId="126">
      <pivotArea dataOnly="0" labelOnly="1" fieldPosition="0">
        <references count="1">
          <reference field="2" count="0"/>
        </references>
      </pivotArea>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field="2" type="button" dataOnly="0" labelOnly="1" outline="0" axis="axisRow" fieldPosition="0"/>
    </format>
    <format dxfId="121">
      <pivotArea dataOnly="0" labelOnly="1" grandRow="1" outline="0" fieldPosition="0"/>
    </format>
    <format dxfId="120">
      <pivotArea dataOnly="0" labelOnly="1" outline="0" axis="axisValues" fieldPosition="0"/>
    </format>
    <format dxfId="119">
      <pivotArea outline="0" collapsedLevelsAreSubtotals="1" fieldPosition="0"/>
    </format>
    <format dxfId="118">
      <pivotArea dataOnly="0" labelOnly="1" fieldPosition="0">
        <references count="1">
          <reference field="2" count="0"/>
        </references>
      </pivotArea>
    </format>
    <format dxfId="117">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2" count="1" selected="0">
            <x v="0"/>
          </reference>
        </references>
      </pivotArea>
    </chartFormat>
    <chartFormat chart="14" format="15">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ategory" xr10:uid="{5342859D-FE1C-46FD-AF74-53D44D38FCE0}" sourceName="Job Category">
  <pivotTables>
    <pivotTable tabId="6" name="PivotTable17"/>
    <pivotTable tabId="6" name="PivotTable12"/>
    <pivotTable tabId="6" name="PivotTable14"/>
    <pivotTable tabId="6" name="PivotTable15"/>
    <pivotTable tabId="6" name="PivotTable16"/>
    <pivotTable tabId="6" name="PivotTable18"/>
    <pivotTable tabId="6" name="PivotTable19"/>
    <pivotTable tabId="6" name="Tenure"/>
  </pivotTables>
  <data>
    <tabular pivotCacheId="160316847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Range" xr10:uid="{63B30DA1-8BD5-4EAE-8146-8B6C1C323DC4}" sourceName="Age Range">
  <pivotTables>
    <pivotTable tabId="6" name="PivotTable16"/>
    <pivotTable tabId="6" name="PivotTable12"/>
    <pivotTable tabId="6" name="PivotTable14"/>
    <pivotTable tabId="6" name="PivotTable15"/>
    <pivotTable tabId="6" name="PivotTable17"/>
    <pivotTable tabId="6" name="PivotTable18"/>
    <pivotTable tabId="6" name="PivotTable19"/>
    <pivotTable tabId="6" name="Tenure"/>
  </pivotTables>
  <data>
    <tabular pivotCacheId="1603168478">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Category" xr10:uid="{F88E6BEB-8A78-446F-A1F3-60441041B8FF}" cache="Slicer_Job_Category" caption="Job Category" rowHeight="252000"/>
  <slicer name="Age Range" xr10:uid="{04264C71-FEC2-4E5A-8989-72E08576F8FE}" cache="Slicer_Age_Range" caption="Age Range"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59D273-CD57-446A-A038-5CFC288C6BA3}" name="Employee_TableData" displayName="Employee_TableData" ref="A1:T162" totalsRowShown="0" headerRowDxfId="151" dataDxfId="150">
  <autoFilter ref="A1:T162" xr:uid="{2E59D273-CD57-446A-A038-5CFC288C6BA3}"/>
  <tableColumns count="20">
    <tableColumn id="1" xr3:uid="{EF082F2F-B2FA-424A-B0F7-D171640E3C53}" name="Employee ID" dataDxfId="149"/>
    <tableColumn id="2" xr3:uid="{C444AABE-1EC0-4E58-9435-4BD96676428F}" name="Name" dataDxfId="148"/>
    <tableColumn id="3" xr3:uid="{C6D96DD6-A912-4313-93A1-7F8BE0D83D4C}" name="Gender" dataDxfId="147"/>
    <tableColumn id="4" xr3:uid="{65022DBF-E1BD-48F5-880E-29968E83957D}" name="Education Qualification" dataDxfId="146"/>
    <tableColumn id="5" xr3:uid="{2170B7C2-5F10-498C-9284-F2D8718AFEC4}" name="Date of Join" dataDxfId="145"/>
    <tableColumn id="6" xr3:uid="{262AAFD7-AF3C-4551-9B7B-FBAFB5F46419}" name="Staff Level" dataDxfId="144"/>
    <tableColumn id="7" xr3:uid="{C3DD2957-EE0C-413C-B421-2209E5EF8F1C}" name="Job Title" dataDxfId="143"/>
    <tableColumn id="8" xr3:uid="{E0E39E05-E131-4EFE-82AF-9AB752905441}" name="Salary" dataDxfId="142"/>
    <tableColumn id="9" xr3:uid="{D7D9CA6A-6E37-4F73-B913-652927803CEF}" name="Salary Range" dataDxfId="141"/>
    <tableColumn id="10" xr3:uid="{A088C7CC-37DE-4DFE-9B7E-327EB56EDE1C}" name="Age" dataDxfId="140"/>
    <tableColumn id="11" xr3:uid="{142848B8-F68D-42F6-8001-414308C9ED5D}" name="Age Range" dataDxfId="139"/>
    <tableColumn id="12" xr3:uid="{9FE0705D-00DD-4563-BE80-FB1E615E4847}" name="Leave Balance" dataDxfId="138"/>
    <tableColumn id="13" xr3:uid="{EF1CEDB2-68B4-4D88-83A8-F64300951B47}" name="Leave Balance Range" dataDxfId="137"/>
    <tableColumn id="14" xr3:uid="{11998684-56CC-4226-9B81-C07A46FB09F7}" name="Today's Date" dataDxfId="136">
      <calculatedColumnFormula>TODAY()</calculatedColumnFormula>
    </tableColumn>
    <tableColumn id="15" xr3:uid="{BCE73A32-C495-4116-8429-6F08D8568F2A}" name="Tenure" dataDxfId="135">
      <calculatedColumnFormula>DATEDIF(Employee_TableData[[#This Row],[Date of Join]],Employee_TableData[[#This Row],[Today''s Date]],"y") &amp; "years"</calculatedColumnFormula>
    </tableColumn>
    <tableColumn id="16" xr3:uid="{DDD93CBC-11F5-4CB6-B300-68F7D3D4DB3F}" name="ID (Employee Name)" dataDxfId="134">
      <calculatedColumnFormula>(Employee_TableData[[#This Row],[Employee ID]] &amp; " | " &amp; (Employee_TableData[[#This Row],[Name]]))</calculatedColumnFormula>
    </tableColumn>
    <tableColumn id="19" xr3:uid="{856DB5EA-E397-4BD6-B4F9-93615E93A6B7}" name="Job Category" dataDxfId="133">
      <calculatedColumnFormula array="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calculatedColumnFormula>
    </tableColumn>
    <tableColumn id="21" xr3:uid="{141FAEF8-1A6A-405A-9840-F25E9B6FA1CA}" name="Day of Join" dataDxfId="132">
      <calculatedColumnFormula>DAY(Employee_TableData[[#This Row],[Date of Join]])</calculatedColumnFormula>
    </tableColumn>
    <tableColumn id="22" xr3:uid="{2570B4BA-55EF-4CF2-86E5-E3FCCB0AC443}" name="Month of Join" dataDxfId="131">
      <calculatedColumnFormula>TEXT(Employee_TableData[[#This Row],[Date of Join]],"mmm")</calculatedColumnFormula>
    </tableColumn>
    <tableColumn id="23" xr3:uid="{4B9504C2-1C21-4C44-B4CF-09E27BC0A69C}" name="Year of Join" dataDxfId="130">
      <calculatedColumnFormula>YEAR(Employee_TableData[[#This Row],[Date of Join]])</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62"/>
  <sheetViews>
    <sheetView workbookViewId="0"/>
  </sheetViews>
  <sheetFormatPr defaultColWidth="12.5703125" defaultRowHeight="15.75" customHeight="1" x14ac:dyDescent="0.2"/>
  <cols>
    <col min="1" max="1" width="13" bestFit="1" customWidth="1"/>
    <col min="2" max="2" width="19.140625" bestFit="1" customWidth="1"/>
    <col min="3" max="3" width="9.140625" bestFit="1" customWidth="1"/>
    <col min="4" max="4" width="21.28515625" bestFit="1" customWidth="1"/>
    <col min="5" max="5" width="12.42578125" style="6" bestFit="1" customWidth="1"/>
    <col min="6" max="6" width="13.42578125" bestFit="1" customWidth="1"/>
    <col min="7" max="7" width="17.5703125" bestFit="1" customWidth="1"/>
    <col min="8" max="8" width="10" style="4" bestFit="1" customWidth="1"/>
    <col min="9" max="9" width="13" bestFit="1" customWidth="1"/>
    <col min="10" max="10" width="6.28515625" bestFit="1" customWidth="1"/>
    <col min="12" max="12" width="14.140625" customWidth="1"/>
    <col min="13" max="13" width="19.5703125" bestFit="1" customWidth="1"/>
    <col min="14" max="14" width="13.140625" style="6" bestFit="1" customWidth="1"/>
    <col min="15" max="15" width="8.85546875" bestFit="1" customWidth="1"/>
    <col min="16" max="16" width="29.140625" bestFit="1" customWidth="1"/>
    <col min="17" max="17" width="15.42578125" bestFit="1" customWidth="1"/>
    <col min="19" max="19" width="14" bestFit="1" customWidth="1"/>
  </cols>
  <sheetData>
    <row r="1" spans="1:20" ht="15.75" customHeight="1" x14ac:dyDescent="0.2">
      <c r="A1" s="1" t="s">
        <v>0</v>
      </c>
      <c r="B1" s="1" t="s">
        <v>1</v>
      </c>
      <c r="C1" s="1" t="s">
        <v>2</v>
      </c>
      <c r="D1" s="1" t="s">
        <v>3</v>
      </c>
      <c r="E1" s="2" t="s">
        <v>4</v>
      </c>
      <c r="F1" s="1" t="s">
        <v>5</v>
      </c>
      <c r="G1" s="1" t="s">
        <v>6</v>
      </c>
      <c r="H1" s="5" t="s">
        <v>7</v>
      </c>
      <c r="I1" s="1" t="s">
        <v>8</v>
      </c>
      <c r="J1" s="1" t="s">
        <v>9</v>
      </c>
      <c r="K1" s="1" t="s">
        <v>10</v>
      </c>
      <c r="L1" s="1" t="s">
        <v>11</v>
      </c>
      <c r="M1" s="1" t="s">
        <v>12</v>
      </c>
      <c r="N1" s="2" t="s">
        <v>350</v>
      </c>
      <c r="O1" s="1" t="s">
        <v>351</v>
      </c>
      <c r="P1" s="3" t="s">
        <v>360</v>
      </c>
      <c r="Q1" s="3" t="s">
        <v>369</v>
      </c>
      <c r="R1" s="3" t="s">
        <v>370</v>
      </c>
      <c r="S1" s="3" t="s">
        <v>371</v>
      </c>
      <c r="T1" s="3" t="s">
        <v>372</v>
      </c>
    </row>
    <row r="2" spans="1:20" ht="15.75" customHeight="1" x14ac:dyDescent="0.2">
      <c r="A2" s="1" t="s">
        <v>189</v>
      </c>
      <c r="B2" s="3" t="s">
        <v>13</v>
      </c>
      <c r="C2" s="1" t="s">
        <v>14</v>
      </c>
      <c r="D2" s="1" t="s">
        <v>15</v>
      </c>
      <c r="E2" s="2">
        <v>43994</v>
      </c>
      <c r="F2" s="1" t="s">
        <v>16</v>
      </c>
      <c r="G2" s="1" t="s">
        <v>17</v>
      </c>
      <c r="H2" s="5">
        <v>51300</v>
      </c>
      <c r="I2" s="1" t="s">
        <v>18</v>
      </c>
      <c r="J2" s="1">
        <v>26</v>
      </c>
      <c r="K2" s="1" t="s">
        <v>19</v>
      </c>
      <c r="L2" s="1">
        <v>13</v>
      </c>
      <c r="M2" s="1" t="s">
        <v>18</v>
      </c>
      <c r="N2" s="2">
        <f t="shared" ref="N2:N33" ca="1" si="0">TODAY()</f>
        <v>46221</v>
      </c>
      <c r="O2" s="1" t="str">
        <f ca="1">DATEDIF(Employee_TableData[[#This Row],[Date of Join]],Employee_TableData[[#This Row],[Today''s Date]],"y") &amp; "years"</f>
        <v>6years</v>
      </c>
      <c r="P2" s="3" t="str">
        <f>(Employee_TableData[[#This Row],[Employee ID]] &amp; " | " &amp; (Employee_TableData[[#This Row],[Name]]))</f>
        <v>ADPT0001 | Barr Faughny</v>
      </c>
      <c r="Q2" s="3" t="str" cm="1">
        <f t="array" ref="Q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2" s="3">
        <f>DAY(Employee_TableData[[#This Row],[Date of Join]])</f>
        <v>12</v>
      </c>
      <c r="S2" s="3" t="str">
        <f>TEXT(Employee_TableData[[#This Row],[Date of Join]],"mmm")</f>
        <v>Jun</v>
      </c>
      <c r="T2" s="3">
        <f>YEAR(Employee_TableData[[#This Row],[Date of Join]])</f>
        <v>2020</v>
      </c>
    </row>
    <row r="3" spans="1:20" ht="15.75" customHeight="1" x14ac:dyDescent="0.2">
      <c r="A3" s="1" t="s">
        <v>190</v>
      </c>
      <c r="B3" s="1" t="s">
        <v>20</v>
      </c>
      <c r="C3" s="1" t="s">
        <v>21</v>
      </c>
      <c r="D3" s="1" t="s">
        <v>22</v>
      </c>
      <c r="E3" s="2">
        <v>44245</v>
      </c>
      <c r="F3" s="1" t="s">
        <v>16</v>
      </c>
      <c r="G3" s="1" t="s">
        <v>23</v>
      </c>
      <c r="H3" s="5">
        <v>38300</v>
      </c>
      <c r="I3" s="1" t="s">
        <v>24</v>
      </c>
      <c r="J3" s="1">
        <v>33</v>
      </c>
      <c r="K3" s="1" t="s">
        <v>19</v>
      </c>
      <c r="L3" s="1">
        <v>12</v>
      </c>
      <c r="M3" s="1" t="s">
        <v>18</v>
      </c>
      <c r="N3" s="2">
        <f t="shared" ca="1" si="0"/>
        <v>46221</v>
      </c>
      <c r="O3" s="1" t="str">
        <f ca="1">DATEDIF(Employee_TableData[[#This Row],[Date of Join]],Employee_TableData[[#This Row],[Today''s Date]],"y") &amp; "years"</f>
        <v>5years</v>
      </c>
      <c r="P3" s="3" t="str">
        <f>(Employee_TableData[[#This Row],[Employee ID]] &amp; " | " &amp; (Employee_TableData[[#This Row],[Name]]))</f>
        <v>ADPT0002 | Dennison Crosswaite</v>
      </c>
      <c r="Q3" s="3" t="str" cm="1">
        <f t="array" ref="Q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3" s="3">
        <f>DAY(Employee_TableData[[#This Row],[Date of Join]])</f>
        <v>18</v>
      </c>
      <c r="S3" s="3" t="str">
        <f>TEXT(Employee_TableData[[#This Row],[Date of Join]],"mmm")</f>
        <v>Feb</v>
      </c>
      <c r="T3" s="3">
        <f>YEAR(Employee_TableData[[#This Row],[Date of Join]])</f>
        <v>2021</v>
      </c>
    </row>
    <row r="4" spans="1:20" ht="15.75" customHeight="1" x14ac:dyDescent="0.2">
      <c r="A4" s="1" t="s">
        <v>191</v>
      </c>
      <c r="B4" s="1" t="s">
        <v>25</v>
      </c>
      <c r="C4" s="1" t="s">
        <v>14</v>
      </c>
      <c r="D4" s="1" t="s">
        <v>26</v>
      </c>
      <c r="E4" s="2">
        <v>44809</v>
      </c>
      <c r="F4" s="1" t="s">
        <v>16</v>
      </c>
      <c r="G4" s="1" t="s">
        <v>27</v>
      </c>
      <c r="H4" s="5">
        <v>31400</v>
      </c>
      <c r="I4" s="1" t="s">
        <v>24</v>
      </c>
      <c r="J4" s="1">
        <v>34</v>
      </c>
      <c r="K4" s="1" t="s">
        <v>19</v>
      </c>
      <c r="L4" s="1">
        <v>16</v>
      </c>
      <c r="M4" s="1" t="s">
        <v>18</v>
      </c>
      <c r="N4" s="2">
        <f t="shared" ca="1" si="0"/>
        <v>46221</v>
      </c>
      <c r="O4" s="1" t="str">
        <f ca="1">DATEDIF(Employee_TableData[[#This Row],[Date of Join]],Employee_TableData[[#This Row],[Today''s Date]],"y") &amp; "years"</f>
        <v>3years</v>
      </c>
      <c r="P4" s="3" t="str">
        <f>(Employee_TableData[[#This Row],[Employee ID]] &amp; " | " &amp; (Employee_TableData[[#This Row],[Name]]))</f>
        <v>ADPT0003 | Gunar Cockshoot</v>
      </c>
      <c r="Q4" s="3" t="str" cm="1">
        <f t="array" ref="Q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4" s="3">
        <f>DAY(Employee_TableData[[#This Row],[Date of Join]])</f>
        <v>5</v>
      </c>
      <c r="S4" s="3" t="str">
        <f>TEXT(Employee_TableData[[#This Row],[Date of Join]],"mmm")</f>
        <v>Sept</v>
      </c>
      <c r="T4" s="3">
        <f>YEAR(Employee_TableData[[#This Row],[Date of Join]])</f>
        <v>2022</v>
      </c>
    </row>
    <row r="5" spans="1:20" ht="15.75" customHeight="1" x14ac:dyDescent="0.2">
      <c r="A5" s="1" t="s">
        <v>192</v>
      </c>
      <c r="B5" s="1" t="s">
        <v>28</v>
      </c>
      <c r="C5" s="1" t="s">
        <v>21</v>
      </c>
      <c r="D5" s="1" t="s">
        <v>15</v>
      </c>
      <c r="E5" s="2">
        <v>43789</v>
      </c>
      <c r="F5" s="1" t="s">
        <v>29</v>
      </c>
      <c r="G5" s="1" t="s">
        <v>30</v>
      </c>
      <c r="H5" s="5">
        <v>60700</v>
      </c>
      <c r="I5" s="1" t="s">
        <v>31</v>
      </c>
      <c r="J5" s="1">
        <v>30</v>
      </c>
      <c r="K5" s="1" t="s">
        <v>19</v>
      </c>
      <c r="L5" s="1">
        <v>21</v>
      </c>
      <c r="M5" s="1" t="s">
        <v>31</v>
      </c>
      <c r="N5" s="2">
        <f t="shared" ca="1" si="0"/>
        <v>46221</v>
      </c>
      <c r="O5" s="1" t="str">
        <f ca="1">DATEDIF(Employee_TableData[[#This Row],[Date of Join]],Employee_TableData[[#This Row],[Today''s Date]],"y") &amp; "years"</f>
        <v>6years</v>
      </c>
      <c r="P5" s="3" t="str">
        <f>(Employee_TableData[[#This Row],[Employee ID]] &amp; " | " &amp; (Employee_TableData[[#This Row],[Name]]))</f>
        <v>ADPT0004 | Wilone O'Kielt</v>
      </c>
      <c r="Q5" s="3" t="str" cm="1">
        <f t="array" ref="Q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5" s="3">
        <f>DAY(Employee_TableData[[#This Row],[Date of Join]])</f>
        <v>20</v>
      </c>
      <c r="S5" s="3" t="str">
        <f>TEXT(Employee_TableData[[#This Row],[Date of Join]],"mmm")</f>
        <v>Nov</v>
      </c>
      <c r="T5" s="3">
        <f>YEAR(Employee_TableData[[#This Row],[Date of Join]])</f>
        <v>2019</v>
      </c>
    </row>
    <row r="6" spans="1:20" ht="15.75" customHeight="1" x14ac:dyDescent="0.2">
      <c r="A6" s="1" t="s">
        <v>193</v>
      </c>
      <c r="B6" s="1" t="s">
        <v>32</v>
      </c>
      <c r="C6" s="1" t="s">
        <v>14</v>
      </c>
      <c r="D6" s="1" t="s">
        <v>33</v>
      </c>
      <c r="E6" s="2">
        <v>43198</v>
      </c>
      <c r="F6" s="1" t="s">
        <v>29</v>
      </c>
      <c r="G6" s="1" t="s">
        <v>34</v>
      </c>
      <c r="H6" s="5">
        <v>77300</v>
      </c>
      <c r="I6" s="1" t="s">
        <v>35</v>
      </c>
      <c r="J6" s="1">
        <v>30</v>
      </c>
      <c r="K6" s="1" t="s">
        <v>19</v>
      </c>
      <c r="L6" s="1">
        <v>23</v>
      </c>
      <c r="M6" s="1" t="s">
        <v>31</v>
      </c>
      <c r="N6" s="2">
        <f t="shared" ca="1" si="0"/>
        <v>46221</v>
      </c>
      <c r="O6" s="1" t="str">
        <f ca="1">DATEDIF(Employee_TableData[[#This Row],[Date of Join]],Employee_TableData[[#This Row],[Today''s Date]],"y") &amp; "years"</f>
        <v>8years</v>
      </c>
      <c r="P6" s="3" t="str">
        <f>(Employee_TableData[[#This Row],[Employee ID]] &amp; " | " &amp; (Employee_TableData[[#This Row],[Name]]))</f>
        <v>ADPT0005 | Gigi Bohling</v>
      </c>
      <c r="Q6" s="3" t="str" cm="1">
        <f t="array" ref="Q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 s="3">
        <f>DAY(Employee_TableData[[#This Row],[Date of Join]])</f>
        <v>8</v>
      </c>
      <c r="S6" s="3" t="str">
        <f>TEXT(Employee_TableData[[#This Row],[Date of Join]],"mmm")</f>
        <v>Apr</v>
      </c>
      <c r="T6" s="3">
        <f>YEAR(Employee_TableData[[#This Row],[Date of Join]])</f>
        <v>2018</v>
      </c>
    </row>
    <row r="7" spans="1:20" ht="15.75" customHeight="1" x14ac:dyDescent="0.2">
      <c r="A7" s="1" t="s">
        <v>194</v>
      </c>
      <c r="B7" s="1" t="s">
        <v>36</v>
      </c>
      <c r="C7" s="1" t="s">
        <v>21</v>
      </c>
      <c r="D7" s="1" t="s">
        <v>15</v>
      </c>
      <c r="E7" s="2">
        <v>44999</v>
      </c>
      <c r="F7" s="1" t="s">
        <v>37</v>
      </c>
      <c r="G7" s="1" t="s">
        <v>38</v>
      </c>
      <c r="H7" s="5">
        <v>49800</v>
      </c>
      <c r="I7" s="1" t="s">
        <v>18</v>
      </c>
      <c r="J7" s="1">
        <v>38</v>
      </c>
      <c r="K7" s="1" t="s">
        <v>39</v>
      </c>
      <c r="L7" s="1">
        <v>23</v>
      </c>
      <c r="M7" s="1" t="s">
        <v>31</v>
      </c>
      <c r="N7" s="2">
        <f t="shared" ca="1" si="0"/>
        <v>46221</v>
      </c>
      <c r="O7" s="1" t="str">
        <f ca="1">DATEDIF(Employee_TableData[[#This Row],[Date of Join]],Employee_TableData[[#This Row],[Today''s Date]],"y") &amp; "years"</f>
        <v>3years</v>
      </c>
      <c r="P7" s="3" t="str">
        <f>(Employee_TableData[[#This Row],[Employee ID]] &amp; " | " &amp; (Employee_TableData[[#This Row],[Name]]))</f>
        <v>ADPT0006 | Curtice Advani</v>
      </c>
      <c r="Q7" s="3" t="str" cm="1">
        <f t="array" ref="Q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7" s="3">
        <f>DAY(Employee_TableData[[#This Row],[Date of Join]])</f>
        <v>14</v>
      </c>
      <c r="S7" s="3" t="str">
        <f>TEXT(Employee_TableData[[#This Row],[Date of Join]],"mmm")</f>
        <v>Mar</v>
      </c>
      <c r="T7" s="3">
        <f>YEAR(Employee_TableData[[#This Row],[Date of Join]])</f>
        <v>2023</v>
      </c>
    </row>
    <row r="8" spans="1:20" ht="15.75" customHeight="1" x14ac:dyDescent="0.2">
      <c r="A8" s="1" t="s">
        <v>195</v>
      </c>
      <c r="B8" s="1" t="s">
        <v>40</v>
      </c>
      <c r="C8" s="1" t="s">
        <v>14</v>
      </c>
      <c r="D8" s="1" t="s">
        <v>26</v>
      </c>
      <c r="E8" s="2">
        <v>44563</v>
      </c>
      <c r="F8" s="1" t="s">
        <v>16</v>
      </c>
      <c r="G8" s="1" t="s">
        <v>23</v>
      </c>
      <c r="H8" s="5">
        <v>33000</v>
      </c>
      <c r="I8" s="1" t="s">
        <v>24</v>
      </c>
      <c r="J8" s="1">
        <v>32</v>
      </c>
      <c r="K8" s="1" t="s">
        <v>19</v>
      </c>
      <c r="L8" s="1">
        <v>24</v>
      </c>
      <c r="M8" s="1" t="s">
        <v>31</v>
      </c>
      <c r="N8" s="2">
        <f t="shared" ca="1" si="0"/>
        <v>46221</v>
      </c>
      <c r="O8" s="1" t="str">
        <f ca="1">DATEDIF(Employee_TableData[[#This Row],[Date of Join]],Employee_TableData[[#This Row],[Today''s Date]],"y") &amp; "years"</f>
        <v>4years</v>
      </c>
      <c r="P8" s="3" t="str">
        <f>(Employee_TableData[[#This Row],[Employee ID]] &amp; " | " &amp; (Employee_TableData[[#This Row],[Name]]))</f>
        <v>ADPT0007 | Kaine Padly</v>
      </c>
      <c r="Q8" s="3" t="str" cm="1">
        <f t="array" ref="Q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8" s="3">
        <f>DAY(Employee_TableData[[#This Row],[Date of Join]])</f>
        <v>2</v>
      </c>
      <c r="S8" s="3" t="str">
        <f>TEXT(Employee_TableData[[#This Row],[Date of Join]],"mmm")</f>
        <v>Jan</v>
      </c>
      <c r="T8" s="3">
        <f>YEAR(Employee_TableData[[#This Row],[Date of Join]])</f>
        <v>2022</v>
      </c>
    </row>
    <row r="9" spans="1:20" ht="15.75" customHeight="1" x14ac:dyDescent="0.2">
      <c r="A9" s="1" t="s">
        <v>196</v>
      </c>
      <c r="B9" s="1" t="s">
        <v>41</v>
      </c>
      <c r="C9" s="1" t="s">
        <v>21</v>
      </c>
      <c r="D9" s="1" t="s">
        <v>22</v>
      </c>
      <c r="E9" s="2">
        <v>44031</v>
      </c>
      <c r="F9" s="1" t="s">
        <v>16</v>
      </c>
      <c r="G9" s="1" t="s">
        <v>42</v>
      </c>
      <c r="H9" s="5">
        <v>41900</v>
      </c>
      <c r="I9" s="1" t="s">
        <v>18</v>
      </c>
      <c r="J9" s="1">
        <v>36</v>
      </c>
      <c r="K9" s="1" t="s">
        <v>39</v>
      </c>
      <c r="L9" s="1">
        <v>17</v>
      </c>
      <c r="M9" s="1" t="s">
        <v>18</v>
      </c>
      <c r="N9" s="2">
        <f t="shared" ca="1" si="0"/>
        <v>46221</v>
      </c>
      <c r="O9" s="1" t="str">
        <f ca="1">DATEDIF(Employee_TableData[[#This Row],[Date of Join]],Employee_TableData[[#This Row],[Today''s Date]],"y") &amp; "years"</f>
        <v>5years</v>
      </c>
      <c r="P9" s="3" t="str">
        <f>(Employee_TableData[[#This Row],[Employee ID]] &amp; " | " &amp; (Employee_TableData[[#This Row],[Name]]))</f>
        <v>ADPT0008 | Ches Bonnell</v>
      </c>
      <c r="Q9" s="3" t="str" cm="1">
        <f t="array" ref="Q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 s="3">
        <f>DAY(Employee_TableData[[#This Row],[Date of Join]])</f>
        <v>19</v>
      </c>
      <c r="S9" s="3" t="str">
        <f>TEXT(Employee_TableData[[#This Row],[Date of Join]],"mmm")</f>
        <v>Jul</v>
      </c>
      <c r="T9" s="3">
        <f>YEAR(Employee_TableData[[#This Row],[Date of Join]])</f>
        <v>2020</v>
      </c>
    </row>
    <row r="10" spans="1:20" ht="15.75" customHeight="1" x14ac:dyDescent="0.2">
      <c r="A10" s="1" t="s">
        <v>197</v>
      </c>
      <c r="B10" s="1" t="s">
        <v>43</v>
      </c>
      <c r="C10" s="1" t="s">
        <v>14</v>
      </c>
      <c r="D10" s="1" t="s">
        <v>15</v>
      </c>
      <c r="E10" s="2">
        <v>44510</v>
      </c>
      <c r="F10" s="1" t="s">
        <v>16</v>
      </c>
      <c r="G10" s="1" t="s">
        <v>44</v>
      </c>
      <c r="H10" s="5">
        <v>58100</v>
      </c>
      <c r="I10" s="1" t="s">
        <v>31</v>
      </c>
      <c r="J10" s="1">
        <v>31</v>
      </c>
      <c r="K10" s="1" t="s">
        <v>19</v>
      </c>
      <c r="L10" s="1">
        <v>16</v>
      </c>
      <c r="M10" s="1" t="s">
        <v>18</v>
      </c>
      <c r="N10" s="2">
        <f t="shared" ca="1" si="0"/>
        <v>46221</v>
      </c>
      <c r="O10" s="1" t="str">
        <f ca="1">DATEDIF(Employee_TableData[[#This Row],[Date of Join]],Employee_TableData[[#This Row],[Today''s Date]],"y") &amp; "years"</f>
        <v>4years</v>
      </c>
      <c r="P10" s="3" t="str">
        <f>(Employee_TableData[[#This Row],[Employee ID]] &amp; " | " &amp; (Employee_TableData[[#This Row],[Name]]))</f>
        <v>ADPT0009 | Andria Kimpton</v>
      </c>
      <c r="Q10" s="3" t="str" cm="1">
        <f t="array" ref="Q1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 s="3">
        <f>DAY(Employee_TableData[[#This Row],[Date of Join]])</f>
        <v>10</v>
      </c>
      <c r="S10" s="3" t="str">
        <f>TEXT(Employee_TableData[[#This Row],[Date of Join]],"mmm")</f>
        <v>Nov</v>
      </c>
      <c r="T10" s="3">
        <f>YEAR(Employee_TableData[[#This Row],[Date of Join]])</f>
        <v>2021</v>
      </c>
    </row>
    <row r="11" spans="1:20" ht="15.75" customHeight="1" x14ac:dyDescent="0.2">
      <c r="A11" s="1" t="s">
        <v>198</v>
      </c>
      <c r="B11" s="1" t="s">
        <v>45</v>
      </c>
      <c r="C11" s="1" t="s">
        <v>21</v>
      </c>
      <c r="D11" s="1" t="s">
        <v>33</v>
      </c>
      <c r="E11" s="2">
        <v>43641</v>
      </c>
      <c r="F11" s="1" t="s">
        <v>29</v>
      </c>
      <c r="G11" s="1" t="s">
        <v>46</v>
      </c>
      <c r="H11" s="5">
        <v>82900</v>
      </c>
      <c r="I11" s="1" t="s">
        <v>35</v>
      </c>
      <c r="J11" s="1">
        <v>31</v>
      </c>
      <c r="K11" s="1" t="s">
        <v>19</v>
      </c>
      <c r="L11" s="1">
        <v>17</v>
      </c>
      <c r="M11" s="1" t="s">
        <v>18</v>
      </c>
      <c r="N11" s="2">
        <f t="shared" ca="1" si="0"/>
        <v>46221</v>
      </c>
      <c r="O11" s="1" t="str">
        <f ca="1">DATEDIF(Employee_TableData[[#This Row],[Date of Join]],Employee_TableData[[#This Row],[Today''s Date]],"y") &amp; "years"</f>
        <v>7years</v>
      </c>
      <c r="P11" s="3" t="str">
        <f>(Employee_TableData[[#This Row],[Employee ID]] &amp; " | " &amp; (Employee_TableData[[#This Row],[Name]]))</f>
        <v>ADPT0010 | Brien Boise</v>
      </c>
      <c r="Q11" s="3" t="str" cm="1">
        <f t="array" ref="Q1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1" s="3">
        <f>DAY(Employee_TableData[[#This Row],[Date of Join]])</f>
        <v>25</v>
      </c>
      <c r="S11" s="3" t="str">
        <f>TEXT(Employee_TableData[[#This Row],[Date of Join]],"mmm")</f>
        <v>Jun</v>
      </c>
      <c r="T11" s="3">
        <f>YEAR(Employee_TableData[[#This Row],[Date of Join]])</f>
        <v>2019</v>
      </c>
    </row>
    <row r="12" spans="1:20" ht="15.75" customHeight="1" x14ac:dyDescent="0.2">
      <c r="A12" s="1" t="s">
        <v>199</v>
      </c>
      <c r="B12" s="1" t="s">
        <v>47</v>
      </c>
      <c r="C12" s="1" t="s">
        <v>14</v>
      </c>
      <c r="D12" s="1" t="s">
        <v>26</v>
      </c>
      <c r="E12" s="2">
        <v>44777</v>
      </c>
      <c r="F12" s="1" t="s">
        <v>16</v>
      </c>
      <c r="G12" s="1" t="s">
        <v>27</v>
      </c>
      <c r="H12" s="5">
        <v>28900</v>
      </c>
      <c r="I12" s="1" t="s">
        <v>24</v>
      </c>
      <c r="J12" s="1">
        <v>30</v>
      </c>
      <c r="K12" s="1" t="s">
        <v>19</v>
      </c>
      <c r="L12" s="1">
        <v>16</v>
      </c>
      <c r="M12" s="1" t="s">
        <v>18</v>
      </c>
      <c r="N12" s="2">
        <f t="shared" ca="1" si="0"/>
        <v>46221</v>
      </c>
      <c r="O12" s="1" t="str">
        <f ca="1">DATEDIF(Employee_TableData[[#This Row],[Date of Join]],Employee_TableData[[#This Row],[Today''s Date]],"y") &amp; "years"</f>
        <v>3years</v>
      </c>
      <c r="P12" s="3" t="str">
        <f>(Employee_TableData[[#This Row],[Employee ID]] &amp; " | " &amp; (Employee_TableData[[#This Row],[Name]]))</f>
        <v>ADPT0011 | Husein Augar</v>
      </c>
      <c r="Q12" s="3" t="str" cm="1">
        <f t="array" ref="Q1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2" s="3">
        <f>DAY(Employee_TableData[[#This Row],[Date of Join]])</f>
        <v>4</v>
      </c>
      <c r="S12" s="3" t="str">
        <f>TEXT(Employee_TableData[[#This Row],[Date of Join]],"mmm")</f>
        <v>Aug</v>
      </c>
      <c r="T12" s="3">
        <f>YEAR(Employee_TableData[[#This Row],[Date of Join]])</f>
        <v>2022</v>
      </c>
    </row>
    <row r="13" spans="1:20" ht="15.75" customHeight="1" x14ac:dyDescent="0.2">
      <c r="A13" s="1" t="s">
        <v>200</v>
      </c>
      <c r="B13" s="1" t="s">
        <v>48</v>
      </c>
      <c r="C13" s="1" t="s">
        <v>21</v>
      </c>
      <c r="D13" s="1" t="s">
        <v>22</v>
      </c>
      <c r="E13" s="2">
        <v>43878</v>
      </c>
      <c r="F13" s="1" t="s">
        <v>16</v>
      </c>
      <c r="G13" s="1" t="s">
        <v>23</v>
      </c>
      <c r="H13" s="5">
        <v>37300</v>
      </c>
      <c r="I13" s="1" t="s">
        <v>24</v>
      </c>
      <c r="J13" s="1">
        <v>35</v>
      </c>
      <c r="K13" s="1" t="s">
        <v>19</v>
      </c>
      <c r="L13" s="1">
        <v>11</v>
      </c>
      <c r="M13" s="1" t="s">
        <v>18</v>
      </c>
      <c r="N13" s="2">
        <f t="shared" ca="1" si="0"/>
        <v>46221</v>
      </c>
      <c r="O13" s="1" t="str">
        <f ca="1">DATEDIF(Employee_TableData[[#This Row],[Date of Join]],Employee_TableData[[#This Row],[Today''s Date]],"y") &amp; "years"</f>
        <v>6years</v>
      </c>
      <c r="P13" s="3" t="str">
        <f>(Employee_TableData[[#This Row],[Employee ID]] &amp; " | " &amp; (Employee_TableData[[#This Row],[Name]]))</f>
        <v>ADPT0012 | Karlen McCaffrey</v>
      </c>
      <c r="Q13" s="3" t="str" cm="1">
        <f t="array" ref="Q1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3" s="3">
        <f>DAY(Employee_TableData[[#This Row],[Date of Join]])</f>
        <v>17</v>
      </c>
      <c r="S13" s="3" t="str">
        <f>TEXT(Employee_TableData[[#This Row],[Date of Join]],"mmm")</f>
        <v>Feb</v>
      </c>
      <c r="T13" s="3">
        <f>YEAR(Employee_TableData[[#This Row],[Date of Join]])</f>
        <v>2020</v>
      </c>
    </row>
    <row r="14" spans="1:20" ht="15.75" customHeight="1" x14ac:dyDescent="0.2">
      <c r="A14" s="1" t="s">
        <v>201</v>
      </c>
      <c r="B14" s="1" t="s">
        <v>49</v>
      </c>
      <c r="C14" s="1" t="s">
        <v>14</v>
      </c>
      <c r="D14" s="1" t="s">
        <v>15</v>
      </c>
      <c r="E14" s="2">
        <v>44499</v>
      </c>
      <c r="F14" s="1" t="s">
        <v>16</v>
      </c>
      <c r="G14" s="1" t="s">
        <v>17</v>
      </c>
      <c r="H14" s="5">
        <v>52700</v>
      </c>
      <c r="I14" s="1" t="s">
        <v>18</v>
      </c>
      <c r="J14" s="1">
        <v>28</v>
      </c>
      <c r="K14" s="1" t="s">
        <v>19</v>
      </c>
      <c r="L14" s="1">
        <v>25</v>
      </c>
      <c r="M14" s="1" t="s">
        <v>31</v>
      </c>
      <c r="N14" s="2">
        <f t="shared" ca="1" si="0"/>
        <v>46221</v>
      </c>
      <c r="O14" s="1" t="str">
        <f ca="1">DATEDIF(Employee_TableData[[#This Row],[Date of Join]],Employee_TableData[[#This Row],[Today''s Date]],"y") &amp; "years"</f>
        <v>4years</v>
      </c>
      <c r="P14" s="3" t="str">
        <f>(Employee_TableData[[#This Row],[Employee ID]] &amp; " | " &amp; (Employee_TableData[[#This Row],[Name]]))</f>
        <v>ADPT0013 | Jan Morforth</v>
      </c>
      <c r="Q14" s="3" t="str" cm="1">
        <f t="array" ref="Q1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 s="3">
        <f>DAY(Employee_TableData[[#This Row],[Date of Join]])</f>
        <v>30</v>
      </c>
      <c r="S14" s="3" t="str">
        <f>TEXT(Employee_TableData[[#This Row],[Date of Join]],"mmm")</f>
        <v>Oct</v>
      </c>
      <c r="T14" s="3">
        <f>YEAR(Employee_TableData[[#This Row],[Date of Join]])</f>
        <v>2021</v>
      </c>
    </row>
    <row r="15" spans="1:20" ht="15.75" customHeight="1" x14ac:dyDescent="0.2">
      <c r="A15" s="1" t="s">
        <v>202</v>
      </c>
      <c r="B15" s="1" t="s">
        <v>50</v>
      </c>
      <c r="C15" s="1" t="s">
        <v>21</v>
      </c>
      <c r="D15" s="1" t="s">
        <v>33</v>
      </c>
      <c r="E15" s="2">
        <v>43355</v>
      </c>
      <c r="F15" s="1" t="s">
        <v>29</v>
      </c>
      <c r="G15" s="1" t="s">
        <v>51</v>
      </c>
      <c r="H15" s="5">
        <v>74700</v>
      </c>
      <c r="I15" s="1" t="s">
        <v>35</v>
      </c>
      <c r="J15" s="1">
        <v>52</v>
      </c>
      <c r="K15" s="1" t="s">
        <v>52</v>
      </c>
      <c r="L15" s="1">
        <v>10</v>
      </c>
      <c r="M15" s="1" t="s">
        <v>24</v>
      </c>
      <c r="N15" s="2">
        <f t="shared" ca="1" si="0"/>
        <v>46221</v>
      </c>
      <c r="O15" s="1" t="str">
        <f ca="1">DATEDIF(Employee_TableData[[#This Row],[Date of Join]],Employee_TableData[[#This Row],[Today''s Date]],"y") &amp; "years"</f>
        <v>7years</v>
      </c>
      <c r="P15" s="3" t="str">
        <f>(Employee_TableData[[#This Row],[Employee ID]] &amp; " | " &amp; (Employee_TableData[[#This Row],[Name]]))</f>
        <v>ADPT0014 | Dotty Strutley</v>
      </c>
      <c r="Q15" s="3" t="str" cm="1">
        <f t="array" ref="Q1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 s="3">
        <f>DAY(Employee_TableData[[#This Row],[Date of Join]])</f>
        <v>12</v>
      </c>
      <c r="S15" s="3" t="str">
        <f>TEXT(Employee_TableData[[#This Row],[Date of Join]],"mmm")</f>
        <v>Sept</v>
      </c>
      <c r="T15" s="3">
        <f>YEAR(Employee_TableData[[#This Row],[Date of Join]])</f>
        <v>2018</v>
      </c>
    </row>
    <row r="16" spans="1:20" ht="15.75" customHeight="1" x14ac:dyDescent="0.2">
      <c r="A16" s="1" t="s">
        <v>203</v>
      </c>
      <c r="B16" s="1" t="s">
        <v>53</v>
      </c>
      <c r="C16" s="1" t="s">
        <v>14</v>
      </c>
      <c r="D16" s="1" t="s">
        <v>15</v>
      </c>
      <c r="E16" s="2">
        <v>43529</v>
      </c>
      <c r="F16" s="1" t="s">
        <v>29</v>
      </c>
      <c r="G16" s="1" t="s">
        <v>44</v>
      </c>
      <c r="H16" s="5">
        <v>55600</v>
      </c>
      <c r="I16" s="1" t="s">
        <v>31</v>
      </c>
      <c r="J16" s="1">
        <v>35</v>
      </c>
      <c r="K16" s="1" t="s">
        <v>19</v>
      </c>
      <c r="L16" s="1">
        <v>12</v>
      </c>
      <c r="M16" s="1" t="s">
        <v>18</v>
      </c>
      <c r="N16" s="2">
        <f t="shared" ca="1" si="0"/>
        <v>46221</v>
      </c>
      <c r="O16" s="1" t="str">
        <f ca="1">DATEDIF(Employee_TableData[[#This Row],[Date of Join]],Employee_TableData[[#This Row],[Today''s Date]],"y") &amp; "years"</f>
        <v>7years</v>
      </c>
      <c r="P16" s="3" t="str">
        <f>(Employee_TableData[[#This Row],[Employee ID]] &amp; " | " &amp; (Employee_TableData[[#This Row],[Name]]))</f>
        <v>ADPT0015 | Kelci Walkden</v>
      </c>
      <c r="Q16" s="3" t="str" cm="1">
        <f t="array" ref="Q1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6" s="3">
        <f>DAY(Employee_TableData[[#This Row],[Date of Join]])</f>
        <v>5</v>
      </c>
      <c r="S16" s="3" t="str">
        <f>TEXT(Employee_TableData[[#This Row],[Date of Join]],"mmm")</f>
        <v>Mar</v>
      </c>
      <c r="T16" s="3">
        <f>YEAR(Employee_TableData[[#This Row],[Date of Join]])</f>
        <v>2019</v>
      </c>
    </row>
    <row r="17" spans="1:20" ht="15.75" customHeight="1" x14ac:dyDescent="0.2">
      <c r="A17" s="1" t="s">
        <v>204</v>
      </c>
      <c r="B17" s="1" t="s">
        <v>54</v>
      </c>
      <c r="C17" s="1" t="s">
        <v>21</v>
      </c>
      <c r="D17" s="1" t="s">
        <v>26</v>
      </c>
      <c r="E17" s="2">
        <v>44702</v>
      </c>
      <c r="F17" s="1" t="s">
        <v>16</v>
      </c>
      <c r="G17" s="1" t="s">
        <v>27</v>
      </c>
      <c r="H17" s="5">
        <v>32900</v>
      </c>
      <c r="I17" s="1" t="s">
        <v>24</v>
      </c>
      <c r="J17" s="1">
        <v>30</v>
      </c>
      <c r="K17" s="1" t="s">
        <v>19</v>
      </c>
      <c r="L17" s="1">
        <v>17</v>
      </c>
      <c r="M17" s="1" t="s">
        <v>18</v>
      </c>
      <c r="N17" s="2">
        <f t="shared" ca="1" si="0"/>
        <v>46221</v>
      </c>
      <c r="O17" s="1" t="str">
        <f ca="1">DATEDIF(Employee_TableData[[#This Row],[Date of Join]],Employee_TableData[[#This Row],[Today''s Date]],"y") &amp; "years"</f>
        <v>4years</v>
      </c>
      <c r="P17" s="3" t="str">
        <f>(Employee_TableData[[#This Row],[Employee ID]] &amp; " | " &amp; (Employee_TableData[[#This Row],[Name]]))</f>
        <v>ADPT0016 | Marney O'Breen</v>
      </c>
      <c r="Q17" s="3" t="str" cm="1">
        <f t="array" ref="Q1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7" s="3">
        <f>DAY(Employee_TableData[[#This Row],[Date of Join]])</f>
        <v>21</v>
      </c>
      <c r="S17" s="3" t="str">
        <f>TEXT(Employee_TableData[[#This Row],[Date of Join]],"mmm")</f>
        <v>May</v>
      </c>
      <c r="T17" s="3">
        <f>YEAR(Employee_TableData[[#This Row],[Date of Join]])</f>
        <v>2022</v>
      </c>
    </row>
    <row r="18" spans="1:20" ht="15.75" customHeight="1" x14ac:dyDescent="0.2">
      <c r="A18" s="1" t="s">
        <v>205</v>
      </c>
      <c r="B18" s="1" t="s">
        <v>55</v>
      </c>
      <c r="C18" s="1" t="s">
        <v>21</v>
      </c>
      <c r="D18" s="1" t="s">
        <v>22</v>
      </c>
      <c r="E18" s="2">
        <v>44416</v>
      </c>
      <c r="F18" s="1" t="s">
        <v>16</v>
      </c>
      <c r="G18" s="1" t="s">
        <v>42</v>
      </c>
      <c r="H18" s="5">
        <v>41500</v>
      </c>
      <c r="I18" s="1" t="s">
        <v>18</v>
      </c>
      <c r="J18" s="1">
        <v>32</v>
      </c>
      <c r="K18" s="1" t="s">
        <v>19</v>
      </c>
      <c r="L18" s="1">
        <v>17</v>
      </c>
      <c r="M18" s="1" t="s">
        <v>18</v>
      </c>
      <c r="N18" s="2">
        <f t="shared" ca="1" si="0"/>
        <v>46221</v>
      </c>
      <c r="O18" s="1" t="str">
        <f ca="1">DATEDIF(Employee_TableData[[#This Row],[Date of Join]],Employee_TableData[[#This Row],[Today''s Date]],"y") &amp; "years"</f>
        <v>4years</v>
      </c>
      <c r="P18" s="3" t="str">
        <f>(Employee_TableData[[#This Row],[Employee ID]] &amp; " | " &amp; (Employee_TableData[[#This Row],[Name]]))</f>
        <v>ADPT0017 | Rafaelita Blaksland</v>
      </c>
      <c r="Q18" s="3" t="str" cm="1">
        <f t="array" ref="Q1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8" s="3">
        <f>DAY(Employee_TableData[[#This Row],[Date of Join]])</f>
        <v>8</v>
      </c>
      <c r="S18" s="3" t="str">
        <f>TEXT(Employee_TableData[[#This Row],[Date of Join]],"mmm")</f>
        <v>Aug</v>
      </c>
      <c r="T18" s="3">
        <f>YEAR(Employee_TableData[[#This Row],[Date of Join]])</f>
        <v>2021</v>
      </c>
    </row>
    <row r="19" spans="1:20" ht="15.75" customHeight="1" x14ac:dyDescent="0.2">
      <c r="A19" s="1" t="s">
        <v>206</v>
      </c>
      <c r="B19" s="1" t="s">
        <v>56</v>
      </c>
      <c r="C19" s="1" t="s">
        <v>14</v>
      </c>
      <c r="D19" s="1" t="s">
        <v>15</v>
      </c>
      <c r="E19" s="2">
        <v>44158</v>
      </c>
      <c r="F19" s="1" t="s">
        <v>16</v>
      </c>
      <c r="G19" s="1" t="s">
        <v>38</v>
      </c>
      <c r="H19" s="5">
        <v>49400</v>
      </c>
      <c r="I19" s="1" t="s">
        <v>18</v>
      </c>
      <c r="J19" s="1">
        <v>31</v>
      </c>
      <c r="K19" s="1" t="s">
        <v>19</v>
      </c>
      <c r="L19" s="1">
        <v>20</v>
      </c>
      <c r="M19" s="1" t="s">
        <v>18</v>
      </c>
      <c r="N19" s="2">
        <f t="shared" ca="1" si="0"/>
        <v>46221</v>
      </c>
      <c r="O19" s="1" t="str">
        <f ca="1">DATEDIF(Employee_TableData[[#This Row],[Date of Join]],Employee_TableData[[#This Row],[Today''s Date]],"y") &amp; "years"</f>
        <v>5years</v>
      </c>
      <c r="P19" s="3" t="str">
        <f>(Employee_TableData[[#This Row],[Employee ID]] &amp; " | " &amp; (Employee_TableData[[#This Row],[Name]]))</f>
        <v>ADPT0018 | Madelene Upcott</v>
      </c>
      <c r="Q19" s="3" t="str" cm="1">
        <f t="array" ref="Q1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9" s="3">
        <f>DAY(Employee_TableData[[#This Row],[Date of Join]])</f>
        <v>23</v>
      </c>
      <c r="S19" s="3" t="str">
        <f>TEXT(Employee_TableData[[#This Row],[Date of Join]],"mmm")</f>
        <v>Nov</v>
      </c>
      <c r="T19" s="3">
        <f>YEAR(Employee_TableData[[#This Row],[Date of Join]])</f>
        <v>2020</v>
      </c>
    </row>
    <row r="20" spans="1:20" ht="15.75" customHeight="1" x14ac:dyDescent="0.2">
      <c r="A20" s="1" t="s">
        <v>207</v>
      </c>
      <c r="B20" s="1" t="s">
        <v>57</v>
      </c>
      <c r="C20" s="1" t="s">
        <v>21</v>
      </c>
      <c r="D20" s="1" t="s">
        <v>33</v>
      </c>
      <c r="E20" s="2">
        <v>42931</v>
      </c>
      <c r="F20" s="1" t="s">
        <v>58</v>
      </c>
      <c r="G20" s="1" t="s">
        <v>46</v>
      </c>
      <c r="H20" s="5">
        <v>82700</v>
      </c>
      <c r="I20" s="1" t="s">
        <v>35</v>
      </c>
      <c r="J20" s="1">
        <v>34</v>
      </c>
      <c r="K20" s="1" t="s">
        <v>19</v>
      </c>
      <c r="L20" s="1">
        <v>23</v>
      </c>
      <c r="M20" s="1" t="s">
        <v>31</v>
      </c>
      <c r="N20" s="2">
        <f t="shared" ca="1" si="0"/>
        <v>46221</v>
      </c>
      <c r="O20" s="1" t="str">
        <f ca="1">DATEDIF(Employee_TableData[[#This Row],[Date of Join]],Employee_TableData[[#This Row],[Today''s Date]],"y") &amp; "years"</f>
        <v>9years</v>
      </c>
      <c r="P20" s="3" t="str">
        <f>(Employee_TableData[[#This Row],[Employee ID]] &amp; " | " &amp; (Employee_TableData[[#This Row],[Name]]))</f>
        <v>ADPT0019 | Beverie Moffet</v>
      </c>
      <c r="Q20" s="3" t="str" cm="1">
        <f t="array" ref="Q2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20" s="3">
        <f>DAY(Employee_TableData[[#This Row],[Date of Join]])</f>
        <v>15</v>
      </c>
      <c r="S20" s="3" t="str">
        <f>TEXT(Employee_TableData[[#This Row],[Date of Join]],"mmm")</f>
        <v>Jul</v>
      </c>
      <c r="T20" s="3">
        <f>YEAR(Employee_TableData[[#This Row],[Date of Join]])</f>
        <v>2017</v>
      </c>
    </row>
    <row r="21" spans="1:20" ht="12.75" x14ac:dyDescent="0.2">
      <c r="A21" s="1" t="s">
        <v>208</v>
      </c>
      <c r="B21" s="1" t="s">
        <v>59</v>
      </c>
      <c r="C21" s="1" t="s">
        <v>14</v>
      </c>
      <c r="D21" s="1" t="s">
        <v>26</v>
      </c>
      <c r="E21" s="2">
        <v>44650</v>
      </c>
      <c r="F21" s="1" t="s">
        <v>16</v>
      </c>
      <c r="G21" s="1" t="s">
        <v>23</v>
      </c>
      <c r="H21" s="5">
        <v>38200</v>
      </c>
      <c r="I21" s="1" t="s">
        <v>24</v>
      </c>
      <c r="J21" s="1">
        <v>31</v>
      </c>
      <c r="K21" s="1" t="s">
        <v>19</v>
      </c>
      <c r="L21" s="1">
        <v>16</v>
      </c>
      <c r="M21" s="1" t="s">
        <v>18</v>
      </c>
      <c r="N21" s="2">
        <f t="shared" ca="1" si="0"/>
        <v>46221</v>
      </c>
      <c r="O21" s="1" t="str">
        <f ca="1">DATEDIF(Employee_TableData[[#This Row],[Date of Join]],Employee_TableData[[#This Row],[Today''s Date]],"y") &amp; "years"</f>
        <v>4years</v>
      </c>
      <c r="P21" s="3" t="str">
        <f>(Employee_TableData[[#This Row],[Employee ID]] &amp; " | " &amp; (Employee_TableData[[#This Row],[Name]]))</f>
        <v>ADPT0020 | Oby Sorrel</v>
      </c>
      <c r="Q21" s="3" t="str" cm="1">
        <f t="array" ref="Q2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21" s="3">
        <f>DAY(Employee_TableData[[#This Row],[Date of Join]])</f>
        <v>30</v>
      </c>
      <c r="S21" s="3" t="str">
        <f>TEXT(Employee_TableData[[#This Row],[Date of Join]],"mmm")</f>
        <v>Mar</v>
      </c>
      <c r="T21" s="3">
        <f>YEAR(Employee_TableData[[#This Row],[Date of Join]])</f>
        <v>2022</v>
      </c>
    </row>
    <row r="22" spans="1:20" ht="12.75" x14ac:dyDescent="0.2">
      <c r="A22" s="1" t="s">
        <v>209</v>
      </c>
      <c r="B22" s="1" t="s">
        <v>60</v>
      </c>
      <c r="C22" s="1" t="s">
        <v>21</v>
      </c>
      <c r="D22" s="1" t="s">
        <v>22</v>
      </c>
      <c r="E22" s="2">
        <v>43712</v>
      </c>
      <c r="F22" s="1" t="s">
        <v>29</v>
      </c>
      <c r="G22" s="1" t="s">
        <v>27</v>
      </c>
      <c r="H22" s="5">
        <v>32600</v>
      </c>
      <c r="I22" s="1" t="s">
        <v>24</v>
      </c>
      <c r="J22" s="1">
        <v>32</v>
      </c>
      <c r="K22" s="1" t="s">
        <v>19</v>
      </c>
      <c r="L22" s="1">
        <v>16</v>
      </c>
      <c r="M22" s="1" t="s">
        <v>18</v>
      </c>
      <c r="N22" s="2">
        <f t="shared" ca="1" si="0"/>
        <v>46221</v>
      </c>
      <c r="O22" s="1" t="str">
        <f ca="1">DATEDIF(Employee_TableData[[#This Row],[Date of Join]],Employee_TableData[[#This Row],[Today''s Date]],"y") &amp; "years"</f>
        <v>6years</v>
      </c>
      <c r="P22" s="3" t="str">
        <f>(Employee_TableData[[#This Row],[Employee ID]] &amp; " | " &amp; (Employee_TableData[[#This Row],[Name]]))</f>
        <v>ADPT0021 | Mallorie Waber</v>
      </c>
      <c r="Q22" s="3" t="str" cm="1">
        <f t="array" ref="Q2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22" s="3">
        <f>DAY(Employee_TableData[[#This Row],[Date of Join]])</f>
        <v>4</v>
      </c>
      <c r="S22" s="3" t="str">
        <f>TEXT(Employee_TableData[[#This Row],[Date of Join]],"mmm")</f>
        <v>Sept</v>
      </c>
      <c r="T22" s="3">
        <f>YEAR(Employee_TableData[[#This Row],[Date of Join]])</f>
        <v>2019</v>
      </c>
    </row>
    <row r="23" spans="1:20" ht="12.75" x14ac:dyDescent="0.2">
      <c r="A23" s="1" t="s">
        <v>210</v>
      </c>
      <c r="B23" s="1" t="s">
        <v>61</v>
      </c>
      <c r="C23" s="1" t="s">
        <v>14</v>
      </c>
      <c r="D23" s="1" t="s">
        <v>15</v>
      </c>
      <c r="E23" s="2">
        <v>43270</v>
      </c>
      <c r="F23" s="1" t="s">
        <v>29</v>
      </c>
      <c r="G23" s="1" t="s">
        <v>34</v>
      </c>
      <c r="H23" s="5">
        <v>76800</v>
      </c>
      <c r="I23" s="1" t="s">
        <v>35</v>
      </c>
      <c r="J23" s="1">
        <v>33</v>
      </c>
      <c r="K23" s="1" t="s">
        <v>19</v>
      </c>
      <c r="L23" s="1">
        <v>22</v>
      </c>
      <c r="M23" s="1" t="s">
        <v>31</v>
      </c>
      <c r="N23" s="2">
        <f t="shared" ca="1" si="0"/>
        <v>46221</v>
      </c>
      <c r="O23" s="1" t="str">
        <f ca="1">DATEDIF(Employee_TableData[[#This Row],[Date of Join]],Employee_TableData[[#This Row],[Today''s Date]],"y") &amp; "years"</f>
        <v>8years</v>
      </c>
      <c r="P23" s="3" t="str">
        <f>(Employee_TableData[[#This Row],[Employee ID]] &amp; " | " &amp; (Employee_TableData[[#This Row],[Name]]))</f>
        <v>ADPT0022 | Jehu Rudeforth</v>
      </c>
      <c r="Q23" s="3" t="str" cm="1">
        <f t="array" ref="Q2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23" s="3">
        <f>DAY(Employee_TableData[[#This Row],[Date of Join]])</f>
        <v>19</v>
      </c>
      <c r="S23" s="3" t="str">
        <f>TEXT(Employee_TableData[[#This Row],[Date of Join]],"mmm")</f>
        <v>Jun</v>
      </c>
      <c r="T23" s="3">
        <f>YEAR(Employee_TableData[[#This Row],[Date of Join]])</f>
        <v>2018</v>
      </c>
    </row>
    <row r="24" spans="1:20" ht="12.75" x14ac:dyDescent="0.2">
      <c r="A24" s="1" t="s">
        <v>211</v>
      </c>
      <c r="B24" s="1" t="s">
        <v>62</v>
      </c>
      <c r="C24" s="1" t="s">
        <v>21</v>
      </c>
      <c r="D24" s="1" t="s">
        <v>33</v>
      </c>
      <c r="E24" s="2">
        <v>44203</v>
      </c>
      <c r="F24" s="1" t="s">
        <v>16</v>
      </c>
      <c r="G24" s="1" t="s">
        <v>30</v>
      </c>
      <c r="H24" s="5">
        <v>62300</v>
      </c>
      <c r="I24" s="1" t="s">
        <v>31</v>
      </c>
      <c r="J24" s="1">
        <v>34</v>
      </c>
      <c r="K24" s="1" t="s">
        <v>19</v>
      </c>
      <c r="L24" s="1">
        <v>23</v>
      </c>
      <c r="M24" s="1" t="s">
        <v>31</v>
      </c>
      <c r="N24" s="2">
        <f t="shared" ca="1" si="0"/>
        <v>46221</v>
      </c>
      <c r="O24" s="1" t="str">
        <f ca="1">DATEDIF(Employee_TableData[[#This Row],[Date of Join]],Employee_TableData[[#This Row],[Today''s Date]],"y") &amp; "years"</f>
        <v>5years</v>
      </c>
      <c r="P24" s="3" t="str">
        <f>(Employee_TableData[[#This Row],[Employee ID]] &amp; " | " &amp; (Employee_TableData[[#This Row],[Name]]))</f>
        <v>ADPT0023 | Van Tuxwell</v>
      </c>
      <c r="Q24" s="3" t="str" cm="1">
        <f t="array" ref="Q2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24" s="3">
        <f>DAY(Employee_TableData[[#This Row],[Date of Join]])</f>
        <v>7</v>
      </c>
      <c r="S24" s="3" t="str">
        <f>TEXT(Employee_TableData[[#This Row],[Date of Join]],"mmm")</f>
        <v>Jan</v>
      </c>
      <c r="T24" s="3">
        <f>YEAR(Employee_TableData[[#This Row],[Date of Join]])</f>
        <v>2021</v>
      </c>
    </row>
    <row r="25" spans="1:20" ht="12.75" x14ac:dyDescent="0.2">
      <c r="A25" s="1" t="s">
        <v>212</v>
      </c>
      <c r="B25" s="1" t="s">
        <v>63</v>
      </c>
      <c r="C25" s="1" t="s">
        <v>14</v>
      </c>
      <c r="D25" s="1" t="s">
        <v>15</v>
      </c>
      <c r="E25" s="2">
        <v>44068</v>
      </c>
      <c r="F25" s="1" t="s">
        <v>16</v>
      </c>
      <c r="G25" s="1" t="s">
        <v>38</v>
      </c>
      <c r="H25" s="5">
        <v>46200</v>
      </c>
      <c r="I25" s="1" t="s">
        <v>18</v>
      </c>
      <c r="J25" s="1">
        <v>30</v>
      </c>
      <c r="K25" s="1" t="s">
        <v>19</v>
      </c>
      <c r="L25" s="1">
        <v>19</v>
      </c>
      <c r="M25" s="1" t="s">
        <v>18</v>
      </c>
      <c r="N25" s="2">
        <f t="shared" ca="1" si="0"/>
        <v>46221</v>
      </c>
      <c r="O25" s="1" t="str">
        <f ca="1">DATEDIF(Employee_TableData[[#This Row],[Date of Join]],Employee_TableData[[#This Row],[Today''s Date]],"y") &amp; "years"</f>
        <v>5years</v>
      </c>
      <c r="P25" s="3" t="str">
        <f>(Employee_TableData[[#This Row],[Employee ID]] &amp; " | " &amp; (Employee_TableData[[#This Row],[Name]]))</f>
        <v>ADPT0024 | Roddy Speechley</v>
      </c>
      <c r="Q25" s="3" t="str" cm="1">
        <f t="array" ref="Q2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25" s="3">
        <f>DAY(Employee_TableData[[#This Row],[Date of Join]])</f>
        <v>25</v>
      </c>
      <c r="S25" s="3" t="str">
        <f>TEXT(Employee_TableData[[#This Row],[Date of Join]],"mmm")</f>
        <v>Aug</v>
      </c>
      <c r="T25" s="3">
        <f>YEAR(Employee_TableData[[#This Row],[Date of Join]])</f>
        <v>2020</v>
      </c>
    </row>
    <row r="26" spans="1:20" ht="12.75" x14ac:dyDescent="0.2">
      <c r="A26" s="1" t="s">
        <v>213</v>
      </c>
      <c r="B26" s="1" t="s">
        <v>64</v>
      </c>
      <c r="C26" s="1" t="s">
        <v>21</v>
      </c>
      <c r="D26" s="1" t="s">
        <v>26</v>
      </c>
      <c r="E26" s="2">
        <v>44969</v>
      </c>
      <c r="F26" s="1" t="s">
        <v>37</v>
      </c>
      <c r="G26" s="1" t="s">
        <v>27</v>
      </c>
      <c r="H26" s="5">
        <v>32500</v>
      </c>
      <c r="I26" s="1" t="s">
        <v>24</v>
      </c>
      <c r="J26" s="1">
        <v>64</v>
      </c>
      <c r="K26" s="1" t="s">
        <v>52</v>
      </c>
      <c r="L26" s="1">
        <v>12</v>
      </c>
      <c r="M26" s="1" t="s">
        <v>18</v>
      </c>
      <c r="N26" s="2">
        <f t="shared" ca="1" si="0"/>
        <v>46221</v>
      </c>
      <c r="O26" s="1" t="str">
        <f ca="1">DATEDIF(Employee_TableData[[#This Row],[Date of Join]],Employee_TableData[[#This Row],[Today''s Date]],"y") &amp; "years"</f>
        <v>3years</v>
      </c>
      <c r="P26" s="3" t="str">
        <f>(Employee_TableData[[#This Row],[Employee ID]] &amp; " | " &amp; (Employee_TableData[[#This Row],[Name]]))</f>
        <v>ADPT0025 | Camilla Castle</v>
      </c>
      <c r="Q26" s="3" t="str" cm="1">
        <f t="array" ref="Q2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26" s="3">
        <f>DAY(Employee_TableData[[#This Row],[Date of Join]])</f>
        <v>12</v>
      </c>
      <c r="S26" s="3" t="str">
        <f>TEXT(Employee_TableData[[#This Row],[Date of Join]],"mmm")</f>
        <v>Feb</v>
      </c>
      <c r="T26" s="3">
        <f>YEAR(Employee_TableData[[#This Row],[Date of Join]])</f>
        <v>2023</v>
      </c>
    </row>
    <row r="27" spans="1:20" ht="12.75" x14ac:dyDescent="0.2">
      <c r="A27" s="1" t="s">
        <v>214</v>
      </c>
      <c r="B27" s="1" t="s">
        <v>65</v>
      </c>
      <c r="C27" s="1" t="s">
        <v>14</v>
      </c>
      <c r="D27" s="1" t="s">
        <v>22</v>
      </c>
      <c r="E27" s="2">
        <v>44866</v>
      </c>
      <c r="F27" s="1" t="s">
        <v>16</v>
      </c>
      <c r="G27" s="1" t="s">
        <v>42</v>
      </c>
      <c r="H27" s="5">
        <v>43100</v>
      </c>
      <c r="I27" s="1" t="s">
        <v>18</v>
      </c>
      <c r="J27" s="1">
        <v>34</v>
      </c>
      <c r="K27" s="1" t="s">
        <v>19</v>
      </c>
      <c r="L27" s="1">
        <v>16</v>
      </c>
      <c r="M27" s="1" t="s">
        <v>18</v>
      </c>
      <c r="N27" s="2">
        <f t="shared" ca="1" si="0"/>
        <v>46221</v>
      </c>
      <c r="O27" s="1" t="str">
        <f ca="1">DATEDIF(Employee_TableData[[#This Row],[Date of Join]],Employee_TableData[[#This Row],[Today''s Date]],"y") &amp; "years"</f>
        <v>3years</v>
      </c>
      <c r="P27" s="3" t="str">
        <f>(Employee_TableData[[#This Row],[Employee ID]] &amp; " | " &amp; (Employee_TableData[[#This Row],[Name]]))</f>
        <v>ADPT0026 | Janene Hairsine</v>
      </c>
      <c r="Q27" s="3" t="str" cm="1">
        <f t="array" ref="Q2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27" s="3">
        <f>DAY(Employee_TableData[[#This Row],[Date of Join]])</f>
        <v>1</v>
      </c>
      <c r="S27" s="3" t="str">
        <f>TEXT(Employee_TableData[[#This Row],[Date of Join]],"mmm")</f>
        <v>Nov</v>
      </c>
      <c r="T27" s="3">
        <f>YEAR(Employee_TableData[[#This Row],[Date of Join]])</f>
        <v>2022</v>
      </c>
    </row>
    <row r="28" spans="1:20" ht="12.75" x14ac:dyDescent="0.2">
      <c r="A28" s="1" t="s">
        <v>215</v>
      </c>
      <c r="B28" s="1" t="s">
        <v>66</v>
      </c>
      <c r="C28" s="1" t="s">
        <v>21</v>
      </c>
      <c r="D28" s="1" t="s">
        <v>15</v>
      </c>
      <c r="E28" s="2">
        <v>43571</v>
      </c>
      <c r="F28" s="1" t="s">
        <v>29</v>
      </c>
      <c r="G28" s="1" t="s">
        <v>44</v>
      </c>
      <c r="H28" s="5">
        <v>60000</v>
      </c>
      <c r="I28" s="1" t="s">
        <v>31</v>
      </c>
      <c r="J28" s="1">
        <v>29</v>
      </c>
      <c r="K28" s="1" t="s">
        <v>19</v>
      </c>
      <c r="L28" s="1">
        <v>18</v>
      </c>
      <c r="M28" s="1" t="s">
        <v>18</v>
      </c>
      <c r="N28" s="2">
        <f t="shared" ca="1" si="0"/>
        <v>46221</v>
      </c>
      <c r="O28" s="1" t="str">
        <f ca="1">DATEDIF(Employee_TableData[[#This Row],[Date of Join]],Employee_TableData[[#This Row],[Today''s Date]],"y") &amp; "years"</f>
        <v>7years</v>
      </c>
      <c r="P28" s="3" t="str">
        <f>(Employee_TableData[[#This Row],[Employee ID]] &amp; " | " &amp; (Employee_TableData[[#This Row],[Name]]))</f>
        <v>ADPT0027 | Niall Selesnick</v>
      </c>
      <c r="Q28" s="3" t="str" cm="1">
        <f t="array" ref="Q2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28" s="3">
        <f>DAY(Employee_TableData[[#This Row],[Date of Join]])</f>
        <v>16</v>
      </c>
      <c r="S28" s="3" t="str">
        <f>TEXT(Employee_TableData[[#This Row],[Date of Join]],"mmm")</f>
        <v>Apr</v>
      </c>
      <c r="T28" s="3">
        <f>YEAR(Employee_TableData[[#This Row],[Date of Join]])</f>
        <v>2019</v>
      </c>
    </row>
    <row r="29" spans="1:20" ht="12.75" x14ac:dyDescent="0.2">
      <c r="A29" s="1" t="s">
        <v>216</v>
      </c>
      <c r="B29" s="1" t="s">
        <v>67</v>
      </c>
      <c r="C29" s="1" t="s">
        <v>14</v>
      </c>
      <c r="D29" s="1" t="s">
        <v>33</v>
      </c>
      <c r="E29" s="2">
        <v>43382</v>
      </c>
      <c r="F29" s="1" t="s">
        <v>29</v>
      </c>
      <c r="G29" s="1" t="s">
        <v>46</v>
      </c>
      <c r="H29" s="5">
        <v>82100</v>
      </c>
      <c r="I29" s="1" t="s">
        <v>35</v>
      </c>
      <c r="J29" s="1">
        <v>33</v>
      </c>
      <c r="K29" s="1" t="s">
        <v>19</v>
      </c>
      <c r="L29" s="1">
        <v>14</v>
      </c>
      <c r="M29" s="1" t="s">
        <v>18</v>
      </c>
      <c r="N29" s="2">
        <f t="shared" ca="1" si="0"/>
        <v>46221</v>
      </c>
      <c r="O29" s="1" t="str">
        <f ca="1">DATEDIF(Employee_TableData[[#This Row],[Date of Join]],Employee_TableData[[#This Row],[Today''s Date]],"y") &amp; "years"</f>
        <v>7years</v>
      </c>
      <c r="P29" s="3" t="str">
        <f>(Employee_TableData[[#This Row],[Employee ID]] &amp; " | " &amp; (Employee_TableData[[#This Row],[Name]]))</f>
        <v>ADPT0028 | Ebonee Roxburgh</v>
      </c>
      <c r="Q29" s="3" t="str" cm="1">
        <f t="array" ref="Q2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29" s="3">
        <f>DAY(Employee_TableData[[#This Row],[Date of Join]])</f>
        <v>9</v>
      </c>
      <c r="S29" s="3" t="str">
        <f>TEXT(Employee_TableData[[#This Row],[Date of Join]],"mmm")</f>
        <v>Oct</v>
      </c>
      <c r="T29" s="3">
        <f>YEAR(Employee_TableData[[#This Row],[Date of Join]])</f>
        <v>2018</v>
      </c>
    </row>
    <row r="30" spans="1:20" ht="12.75" x14ac:dyDescent="0.2">
      <c r="A30" s="1" t="s">
        <v>217</v>
      </c>
      <c r="B30" s="1" t="s">
        <v>68</v>
      </c>
      <c r="C30" s="1" t="s">
        <v>21</v>
      </c>
      <c r="D30" s="1" t="s">
        <v>26</v>
      </c>
      <c r="E30" s="2">
        <v>45072</v>
      </c>
      <c r="F30" s="1" t="s">
        <v>37</v>
      </c>
      <c r="G30" s="1" t="s">
        <v>23</v>
      </c>
      <c r="H30" s="5">
        <v>35900</v>
      </c>
      <c r="I30" s="1" t="s">
        <v>24</v>
      </c>
      <c r="J30" s="1">
        <v>30</v>
      </c>
      <c r="K30" s="1" t="s">
        <v>19</v>
      </c>
      <c r="L30" s="1">
        <v>15</v>
      </c>
      <c r="M30" s="1" t="s">
        <v>18</v>
      </c>
      <c r="N30" s="2">
        <f t="shared" ca="1" si="0"/>
        <v>46221</v>
      </c>
      <c r="O30" s="1" t="str">
        <f ca="1">DATEDIF(Employee_TableData[[#This Row],[Date of Join]],Employee_TableData[[#This Row],[Today''s Date]],"y") &amp; "years"</f>
        <v>3years</v>
      </c>
      <c r="P30" s="3" t="str">
        <f>(Employee_TableData[[#This Row],[Employee ID]] &amp; " | " &amp; (Employee_TableData[[#This Row],[Name]]))</f>
        <v>ADPT0029 | Zach Polon</v>
      </c>
      <c r="Q30" s="3" t="str" cm="1">
        <f t="array" ref="Q3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30" s="3">
        <f>DAY(Employee_TableData[[#This Row],[Date of Join]])</f>
        <v>26</v>
      </c>
      <c r="S30" s="3" t="str">
        <f>TEXT(Employee_TableData[[#This Row],[Date of Join]],"mmm")</f>
        <v>May</v>
      </c>
      <c r="T30" s="3">
        <f>YEAR(Employee_TableData[[#This Row],[Date of Join]])</f>
        <v>2023</v>
      </c>
    </row>
    <row r="31" spans="1:20" ht="12.75" x14ac:dyDescent="0.2">
      <c r="A31" s="1" t="s">
        <v>218</v>
      </c>
      <c r="B31" s="1" t="s">
        <v>69</v>
      </c>
      <c r="C31" s="1" t="s">
        <v>14</v>
      </c>
      <c r="D31" s="1" t="s">
        <v>22</v>
      </c>
      <c r="E31" s="2">
        <v>43843</v>
      </c>
      <c r="F31" s="1" t="s">
        <v>16</v>
      </c>
      <c r="G31" s="1" t="s">
        <v>27</v>
      </c>
      <c r="H31" s="5">
        <v>31100</v>
      </c>
      <c r="I31" s="1" t="s">
        <v>24</v>
      </c>
      <c r="J31" s="1">
        <v>27</v>
      </c>
      <c r="K31" s="1" t="s">
        <v>19</v>
      </c>
      <c r="L31" s="1">
        <v>20</v>
      </c>
      <c r="M31" s="1" t="s">
        <v>18</v>
      </c>
      <c r="N31" s="2">
        <f t="shared" ca="1" si="0"/>
        <v>46221</v>
      </c>
      <c r="O31" s="1" t="str">
        <f ca="1">DATEDIF(Employee_TableData[[#This Row],[Date of Join]],Employee_TableData[[#This Row],[Today''s Date]],"y") &amp; "years"</f>
        <v>6years</v>
      </c>
      <c r="P31" s="3" t="str">
        <f>(Employee_TableData[[#This Row],[Employee ID]] &amp; " | " &amp; (Employee_TableData[[#This Row],[Name]]))</f>
        <v>ADPT0030 | Orton Livick</v>
      </c>
      <c r="Q31" s="3" t="str" cm="1">
        <f t="array" ref="Q3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31" s="3">
        <f>DAY(Employee_TableData[[#This Row],[Date of Join]])</f>
        <v>13</v>
      </c>
      <c r="S31" s="3" t="str">
        <f>TEXT(Employee_TableData[[#This Row],[Date of Join]],"mmm")</f>
        <v>Jan</v>
      </c>
      <c r="T31" s="3">
        <f>YEAR(Employee_TableData[[#This Row],[Date of Join]])</f>
        <v>2020</v>
      </c>
    </row>
    <row r="32" spans="1:20" ht="12.75" x14ac:dyDescent="0.2">
      <c r="A32" s="1" t="s">
        <v>219</v>
      </c>
      <c r="B32" s="1" t="s">
        <v>70</v>
      </c>
      <c r="C32" s="1" t="s">
        <v>21</v>
      </c>
      <c r="D32" s="1" t="s">
        <v>15</v>
      </c>
      <c r="E32" s="2">
        <v>43308</v>
      </c>
      <c r="F32" s="1" t="s">
        <v>29</v>
      </c>
      <c r="G32" s="1" t="s">
        <v>51</v>
      </c>
      <c r="H32" s="5">
        <v>74200</v>
      </c>
      <c r="I32" s="1" t="s">
        <v>35</v>
      </c>
      <c r="J32" s="1">
        <v>31</v>
      </c>
      <c r="K32" s="1" t="s">
        <v>19</v>
      </c>
      <c r="L32" s="1">
        <v>27</v>
      </c>
      <c r="M32" s="1" t="s">
        <v>31</v>
      </c>
      <c r="N32" s="2">
        <f t="shared" ca="1" si="0"/>
        <v>46221</v>
      </c>
      <c r="O32" s="1" t="str">
        <f ca="1">DATEDIF(Employee_TableData[[#This Row],[Date of Join]],Employee_TableData[[#This Row],[Today''s Date]],"y") &amp; "years"</f>
        <v>7years</v>
      </c>
      <c r="P32" s="3" t="str">
        <f>(Employee_TableData[[#This Row],[Employee ID]] &amp; " | " &amp; (Employee_TableData[[#This Row],[Name]]))</f>
        <v>ADPT0031 | Gray Seamon</v>
      </c>
      <c r="Q32" s="3" t="str" cm="1">
        <f t="array" ref="Q3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32" s="3">
        <f>DAY(Employee_TableData[[#This Row],[Date of Join]])</f>
        <v>27</v>
      </c>
      <c r="S32" s="3" t="str">
        <f>TEXT(Employee_TableData[[#This Row],[Date of Join]],"mmm")</f>
        <v>Jul</v>
      </c>
      <c r="T32" s="3">
        <f>YEAR(Employee_TableData[[#This Row],[Date of Join]])</f>
        <v>2018</v>
      </c>
    </row>
    <row r="33" spans="1:20" ht="12.75" x14ac:dyDescent="0.2">
      <c r="A33" s="1" t="s">
        <v>220</v>
      </c>
      <c r="B33" s="1" t="s">
        <v>71</v>
      </c>
      <c r="C33" s="1" t="s">
        <v>14</v>
      </c>
      <c r="D33" s="1" t="s">
        <v>33</v>
      </c>
      <c r="E33" s="2">
        <v>43538</v>
      </c>
      <c r="F33" s="1" t="s">
        <v>29</v>
      </c>
      <c r="G33" s="1" t="s">
        <v>44</v>
      </c>
      <c r="H33" s="5">
        <v>57100</v>
      </c>
      <c r="I33" s="1" t="s">
        <v>31</v>
      </c>
      <c r="J33" s="1">
        <v>29</v>
      </c>
      <c r="K33" s="1" t="s">
        <v>19</v>
      </c>
      <c r="L33" s="1">
        <v>13</v>
      </c>
      <c r="M33" s="1" t="s">
        <v>18</v>
      </c>
      <c r="N33" s="2">
        <f t="shared" ca="1" si="0"/>
        <v>46221</v>
      </c>
      <c r="O33" s="1" t="str">
        <f ca="1">DATEDIF(Employee_TableData[[#This Row],[Date of Join]],Employee_TableData[[#This Row],[Today''s Date]],"y") &amp; "years"</f>
        <v>7years</v>
      </c>
      <c r="P33" s="3" t="str">
        <f>(Employee_TableData[[#This Row],[Employee ID]] &amp; " | " &amp; (Employee_TableData[[#This Row],[Name]]))</f>
        <v>ADPT0032 | Benny Karolovsky</v>
      </c>
      <c r="Q33" s="3" t="str" cm="1">
        <f t="array" ref="Q3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33" s="3">
        <f>DAY(Employee_TableData[[#This Row],[Date of Join]])</f>
        <v>14</v>
      </c>
      <c r="S33" s="3" t="str">
        <f>TEXT(Employee_TableData[[#This Row],[Date of Join]],"mmm")</f>
        <v>Mar</v>
      </c>
      <c r="T33" s="3">
        <f>YEAR(Employee_TableData[[#This Row],[Date of Join]])</f>
        <v>2019</v>
      </c>
    </row>
    <row r="34" spans="1:20" ht="12.75" x14ac:dyDescent="0.2">
      <c r="A34" s="1" t="s">
        <v>221</v>
      </c>
      <c r="B34" s="1" t="s">
        <v>72</v>
      </c>
      <c r="C34" s="1" t="s">
        <v>21</v>
      </c>
      <c r="D34" s="1" t="s">
        <v>26</v>
      </c>
      <c r="E34" s="2">
        <v>44832</v>
      </c>
      <c r="F34" s="1" t="s">
        <v>16</v>
      </c>
      <c r="G34" s="1" t="s">
        <v>27</v>
      </c>
      <c r="H34" s="5">
        <v>35200</v>
      </c>
      <c r="I34" s="1" t="s">
        <v>24</v>
      </c>
      <c r="J34" s="1">
        <v>34</v>
      </c>
      <c r="K34" s="1" t="s">
        <v>19</v>
      </c>
      <c r="L34" s="1">
        <v>21</v>
      </c>
      <c r="M34" s="1" t="s">
        <v>31</v>
      </c>
      <c r="N34" s="2">
        <f t="shared" ref="N34:N65" ca="1" si="1">TODAY()</f>
        <v>46221</v>
      </c>
      <c r="O34" s="1" t="str">
        <f ca="1">DATEDIF(Employee_TableData[[#This Row],[Date of Join]],Employee_TableData[[#This Row],[Today''s Date]],"y") &amp; "years"</f>
        <v>3years</v>
      </c>
      <c r="P34" s="3" t="str">
        <f>(Employee_TableData[[#This Row],[Employee ID]] &amp; " | " &amp; (Employee_TableData[[#This Row],[Name]]))</f>
        <v>ADPT0033 | Dyna Doucette</v>
      </c>
      <c r="Q34" s="3" t="str" cm="1">
        <f t="array" ref="Q3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34" s="3">
        <f>DAY(Employee_TableData[[#This Row],[Date of Join]])</f>
        <v>28</v>
      </c>
      <c r="S34" s="3" t="str">
        <f>TEXT(Employee_TableData[[#This Row],[Date of Join]],"mmm")</f>
        <v>Sept</v>
      </c>
      <c r="T34" s="3">
        <f>YEAR(Employee_TableData[[#This Row],[Date of Join]])</f>
        <v>2022</v>
      </c>
    </row>
    <row r="35" spans="1:20" ht="12.75" x14ac:dyDescent="0.2">
      <c r="A35" s="1" t="s">
        <v>222</v>
      </c>
      <c r="B35" s="1" t="s">
        <v>73</v>
      </c>
      <c r="C35" s="1" t="s">
        <v>14</v>
      </c>
      <c r="D35" s="1" t="s">
        <v>22</v>
      </c>
      <c r="E35" s="2">
        <v>44297</v>
      </c>
      <c r="F35" s="1" t="s">
        <v>16</v>
      </c>
      <c r="G35" s="1" t="s">
        <v>42</v>
      </c>
      <c r="H35" s="5">
        <v>42800</v>
      </c>
      <c r="I35" s="1" t="s">
        <v>18</v>
      </c>
      <c r="J35" s="1">
        <v>31</v>
      </c>
      <c r="K35" s="1" t="s">
        <v>19</v>
      </c>
      <c r="L35" s="1">
        <v>18</v>
      </c>
      <c r="M35" s="1" t="s">
        <v>18</v>
      </c>
      <c r="N35" s="2">
        <f t="shared" ca="1" si="1"/>
        <v>46221</v>
      </c>
      <c r="O35" s="1" t="str">
        <f ca="1">DATEDIF(Employee_TableData[[#This Row],[Date of Join]],Employee_TableData[[#This Row],[Today''s Date]],"y") &amp; "years"</f>
        <v>5years</v>
      </c>
      <c r="P35" s="3" t="str">
        <f>(Employee_TableData[[#This Row],[Employee ID]] &amp; " | " &amp; (Employee_TableData[[#This Row],[Name]]))</f>
        <v>ADPT0034 | Erin Androsik</v>
      </c>
      <c r="Q35" s="3" t="str" cm="1">
        <f t="array" ref="Q3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35" s="3">
        <f>DAY(Employee_TableData[[#This Row],[Date of Join]])</f>
        <v>11</v>
      </c>
      <c r="S35" s="3" t="str">
        <f>TEXT(Employee_TableData[[#This Row],[Date of Join]],"mmm")</f>
        <v>Apr</v>
      </c>
      <c r="T35" s="3">
        <f>YEAR(Employee_TableData[[#This Row],[Date of Join]])</f>
        <v>2021</v>
      </c>
    </row>
    <row r="36" spans="1:20" ht="12.75" x14ac:dyDescent="0.2">
      <c r="A36" s="1" t="s">
        <v>223</v>
      </c>
      <c r="B36" s="1" t="s">
        <v>74</v>
      </c>
      <c r="C36" s="1" t="s">
        <v>21</v>
      </c>
      <c r="D36" s="1" t="s">
        <v>15</v>
      </c>
      <c r="E36" s="2">
        <v>43856</v>
      </c>
      <c r="F36" s="1" t="s">
        <v>16</v>
      </c>
      <c r="G36" s="1" t="s">
        <v>38</v>
      </c>
      <c r="H36" s="5">
        <v>46900</v>
      </c>
      <c r="I36" s="1" t="s">
        <v>18</v>
      </c>
      <c r="J36" s="1">
        <v>35</v>
      </c>
      <c r="K36" s="1" t="s">
        <v>19</v>
      </c>
      <c r="L36" s="1">
        <v>16</v>
      </c>
      <c r="M36" s="1" t="s">
        <v>18</v>
      </c>
      <c r="N36" s="2">
        <f t="shared" ca="1" si="1"/>
        <v>46221</v>
      </c>
      <c r="O36" s="1" t="str">
        <f ca="1">DATEDIF(Employee_TableData[[#This Row],[Date of Join]],Employee_TableData[[#This Row],[Today''s Date]],"y") &amp; "years"</f>
        <v>6years</v>
      </c>
      <c r="P36" s="3" t="str">
        <f>(Employee_TableData[[#This Row],[Employee ID]] &amp; " | " &amp; (Employee_TableData[[#This Row],[Name]]))</f>
        <v>ADPT0035 | Madge McCloughen</v>
      </c>
      <c r="Q36" s="3" t="str" cm="1">
        <f t="array" ref="Q3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36" s="3">
        <f>DAY(Employee_TableData[[#This Row],[Date of Join]])</f>
        <v>26</v>
      </c>
      <c r="S36" s="3" t="str">
        <f>TEXT(Employee_TableData[[#This Row],[Date of Join]],"mmm")</f>
        <v>Jan</v>
      </c>
      <c r="T36" s="3">
        <f>YEAR(Employee_TableData[[#This Row],[Date of Join]])</f>
        <v>2020</v>
      </c>
    </row>
    <row r="37" spans="1:20" ht="12.75" x14ac:dyDescent="0.2">
      <c r="A37" s="1" t="s">
        <v>224</v>
      </c>
      <c r="B37" s="1" t="s">
        <v>75</v>
      </c>
      <c r="C37" s="1" t="s">
        <v>14</v>
      </c>
      <c r="D37" s="1" t="s">
        <v>33</v>
      </c>
      <c r="E37" s="2">
        <v>42950</v>
      </c>
      <c r="F37" s="1" t="s">
        <v>58</v>
      </c>
      <c r="G37" s="1" t="s">
        <v>46</v>
      </c>
      <c r="H37" s="5">
        <v>80700</v>
      </c>
      <c r="I37" s="1" t="s">
        <v>35</v>
      </c>
      <c r="J37" s="1">
        <v>26</v>
      </c>
      <c r="K37" s="1" t="s">
        <v>19</v>
      </c>
      <c r="L37" s="1">
        <v>13</v>
      </c>
      <c r="M37" s="1" t="s">
        <v>18</v>
      </c>
      <c r="N37" s="2">
        <f t="shared" ca="1" si="1"/>
        <v>46221</v>
      </c>
      <c r="O37" s="1" t="str">
        <f ca="1">DATEDIF(Employee_TableData[[#This Row],[Date of Join]],Employee_TableData[[#This Row],[Today''s Date]],"y") &amp; "years"</f>
        <v>8years</v>
      </c>
      <c r="P37" s="3" t="str">
        <f>(Employee_TableData[[#This Row],[Employee ID]] &amp; " | " &amp; (Employee_TableData[[#This Row],[Name]]))</f>
        <v>ADPT0036 | Esmaria Denecamp</v>
      </c>
      <c r="Q37" s="3" t="str" cm="1">
        <f t="array" ref="Q3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37" s="3">
        <f>DAY(Employee_TableData[[#This Row],[Date of Join]])</f>
        <v>3</v>
      </c>
      <c r="S37" s="3" t="str">
        <f>TEXT(Employee_TableData[[#This Row],[Date of Join]],"mmm")</f>
        <v>Aug</v>
      </c>
      <c r="T37" s="3">
        <f>YEAR(Employee_TableData[[#This Row],[Date of Join]])</f>
        <v>2017</v>
      </c>
    </row>
    <row r="38" spans="1:20" ht="12.75" x14ac:dyDescent="0.2">
      <c r="A38" s="1" t="s">
        <v>225</v>
      </c>
      <c r="B38" s="1" t="s">
        <v>76</v>
      </c>
      <c r="C38" s="1" t="s">
        <v>21</v>
      </c>
      <c r="D38" s="1" t="s">
        <v>26</v>
      </c>
      <c r="E38" s="2">
        <v>45004</v>
      </c>
      <c r="F38" s="1" t="s">
        <v>37</v>
      </c>
      <c r="G38" s="1" t="s">
        <v>23</v>
      </c>
      <c r="H38" s="5">
        <v>36500</v>
      </c>
      <c r="I38" s="1" t="s">
        <v>24</v>
      </c>
      <c r="J38" s="1">
        <v>24</v>
      </c>
      <c r="K38" s="1" t="s">
        <v>19</v>
      </c>
      <c r="L38" s="1">
        <v>17</v>
      </c>
      <c r="M38" s="1" t="s">
        <v>18</v>
      </c>
      <c r="N38" s="2">
        <f t="shared" ca="1" si="1"/>
        <v>46221</v>
      </c>
      <c r="O38" s="1" t="str">
        <f ca="1">DATEDIF(Employee_TableData[[#This Row],[Date of Join]],Employee_TableData[[#This Row],[Today''s Date]],"y") &amp; "years"</f>
        <v>3years</v>
      </c>
      <c r="P38" s="3" t="str">
        <f>(Employee_TableData[[#This Row],[Employee ID]] &amp; " | " &amp; (Employee_TableData[[#This Row],[Name]]))</f>
        <v>ADPT0037 | Hogan Iles</v>
      </c>
      <c r="Q38" s="3" t="str" cm="1">
        <f t="array" ref="Q3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38" s="3">
        <f>DAY(Employee_TableData[[#This Row],[Date of Join]])</f>
        <v>19</v>
      </c>
      <c r="S38" s="3" t="str">
        <f>TEXT(Employee_TableData[[#This Row],[Date of Join]],"mmm")</f>
        <v>Mar</v>
      </c>
      <c r="T38" s="3">
        <f>YEAR(Employee_TableData[[#This Row],[Date of Join]])</f>
        <v>2023</v>
      </c>
    </row>
    <row r="39" spans="1:20" ht="12.75" x14ac:dyDescent="0.2">
      <c r="A39" s="1" t="s">
        <v>226</v>
      </c>
      <c r="B39" s="1" t="s">
        <v>77</v>
      </c>
      <c r="C39" s="1" t="s">
        <v>14</v>
      </c>
      <c r="D39" s="1" t="s">
        <v>22</v>
      </c>
      <c r="E39" s="2">
        <v>44849</v>
      </c>
      <c r="F39" s="1" t="s">
        <v>16</v>
      </c>
      <c r="G39" s="1" t="s">
        <v>27</v>
      </c>
      <c r="H39" s="5">
        <v>31900</v>
      </c>
      <c r="I39" s="1" t="s">
        <v>24</v>
      </c>
      <c r="J39" s="1">
        <v>30</v>
      </c>
      <c r="K39" s="1" t="s">
        <v>19</v>
      </c>
      <c r="L39" s="1">
        <v>25</v>
      </c>
      <c r="M39" s="1" t="s">
        <v>31</v>
      </c>
      <c r="N39" s="2">
        <f t="shared" ca="1" si="1"/>
        <v>46221</v>
      </c>
      <c r="O39" s="1" t="str">
        <f ca="1">DATEDIF(Employee_TableData[[#This Row],[Date of Join]],Employee_TableData[[#This Row],[Today''s Date]],"y") &amp; "years"</f>
        <v>3years</v>
      </c>
      <c r="P39" s="3" t="str">
        <f>(Employee_TableData[[#This Row],[Employee ID]] &amp; " | " &amp; (Employee_TableData[[#This Row],[Name]]))</f>
        <v>ADPT0038 | Valentia Etteridge</v>
      </c>
      <c r="Q39" s="3" t="str" cm="1">
        <f t="array" ref="Q3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39" s="3">
        <f>DAY(Employee_TableData[[#This Row],[Date of Join]])</f>
        <v>15</v>
      </c>
      <c r="S39" s="3" t="str">
        <f>TEXT(Employee_TableData[[#This Row],[Date of Join]],"mmm")</f>
        <v>Oct</v>
      </c>
      <c r="T39" s="3">
        <f>YEAR(Employee_TableData[[#This Row],[Date of Join]])</f>
        <v>2022</v>
      </c>
    </row>
    <row r="40" spans="1:20" ht="12.75" x14ac:dyDescent="0.2">
      <c r="A40" s="1" t="s">
        <v>227</v>
      </c>
      <c r="B40" s="1" t="s">
        <v>78</v>
      </c>
      <c r="C40" s="1" t="s">
        <v>21</v>
      </c>
      <c r="D40" s="1" t="s">
        <v>15</v>
      </c>
      <c r="E40" s="2">
        <v>43626</v>
      </c>
      <c r="F40" s="1" t="s">
        <v>29</v>
      </c>
      <c r="G40" s="1" t="s">
        <v>17</v>
      </c>
      <c r="H40" s="5">
        <v>52700</v>
      </c>
      <c r="I40" s="1" t="s">
        <v>18</v>
      </c>
      <c r="J40" s="1">
        <v>32</v>
      </c>
      <c r="K40" s="1" t="s">
        <v>19</v>
      </c>
      <c r="L40" s="1">
        <v>16</v>
      </c>
      <c r="M40" s="1" t="s">
        <v>18</v>
      </c>
      <c r="N40" s="2">
        <f t="shared" ca="1" si="1"/>
        <v>46221</v>
      </c>
      <c r="O40" s="1" t="str">
        <f ca="1">DATEDIF(Employee_TableData[[#This Row],[Date of Join]],Employee_TableData[[#This Row],[Today''s Date]],"y") &amp; "years"</f>
        <v>7years</v>
      </c>
      <c r="P40" s="3" t="str">
        <f>(Employee_TableData[[#This Row],[Employee ID]] &amp; " | " &amp; (Employee_TableData[[#This Row],[Name]]))</f>
        <v>ADPT0039 | Archibald Filliskirk</v>
      </c>
      <c r="Q40" s="3" t="str" cm="1">
        <f t="array" ref="Q4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40" s="3">
        <f>DAY(Employee_TableData[[#This Row],[Date of Join]])</f>
        <v>10</v>
      </c>
      <c r="S40" s="3" t="str">
        <f>TEXT(Employee_TableData[[#This Row],[Date of Join]],"mmm")</f>
        <v>Jun</v>
      </c>
      <c r="T40" s="3">
        <f>YEAR(Employee_TableData[[#This Row],[Date of Join]])</f>
        <v>2019</v>
      </c>
    </row>
    <row r="41" spans="1:20" ht="12.75" x14ac:dyDescent="0.2">
      <c r="A41" s="1" t="s">
        <v>228</v>
      </c>
      <c r="B41" s="1" t="s">
        <v>79</v>
      </c>
      <c r="C41" s="1" t="s">
        <v>14</v>
      </c>
      <c r="D41" s="1" t="s">
        <v>33</v>
      </c>
      <c r="E41" s="2">
        <v>43223</v>
      </c>
      <c r="F41" s="1" t="s">
        <v>29</v>
      </c>
      <c r="G41" s="1" t="s">
        <v>30</v>
      </c>
      <c r="H41" s="5">
        <v>61400</v>
      </c>
      <c r="I41" s="1" t="s">
        <v>31</v>
      </c>
      <c r="J41" s="1">
        <v>38</v>
      </c>
      <c r="K41" s="1" t="s">
        <v>39</v>
      </c>
      <c r="L41" s="1">
        <v>15</v>
      </c>
      <c r="M41" s="1" t="s">
        <v>18</v>
      </c>
      <c r="N41" s="2">
        <f t="shared" ca="1" si="1"/>
        <v>46221</v>
      </c>
      <c r="O41" s="1" t="str">
        <f ca="1">DATEDIF(Employee_TableData[[#This Row],[Date of Join]],Employee_TableData[[#This Row],[Today''s Date]],"y") &amp; "years"</f>
        <v>8years</v>
      </c>
      <c r="P41" s="3" t="str">
        <f>(Employee_TableData[[#This Row],[Employee ID]] &amp; " | " &amp; (Employee_TableData[[#This Row],[Name]]))</f>
        <v>ADPT0040 | Lindy Guillet</v>
      </c>
      <c r="Q41" s="3" t="str" cm="1">
        <f t="array" ref="Q4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41" s="3">
        <f>DAY(Employee_TableData[[#This Row],[Date of Join]])</f>
        <v>3</v>
      </c>
      <c r="S41" s="3" t="str">
        <f>TEXT(Employee_TableData[[#This Row],[Date of Join]],"mmm")</f>
        <v>May</v>
      </c>
      <c r="T41" s="3">
        <f>YEAR(Employee_TableData[[#This Row],[Date of Join]])</f>
        <v>2018</v>
      </c>
    </row>
    <row r="42" spans="1:20" ht="12.75" x14ac:dyDescent="0.2">
      <c r="A42" s="1" t="s">
        <v>229</v>
      </c>
      <c r="B42" s="1" t="s">
        <v>80</v>
      </c>
      <c r="C42" s="1" t="s">
        <v>21</v>
      </c>
      <c r="D42" s="1" t="s">
        <v>26</v>
      </c>
      <c r="E42" s="2">
        <v>44468</v>
      </c>
      <c r="F42" s="1" t="s">
        <v>16</v>
      </c>
      <c r="G42" s="1" t="s">
        <v>34</v>
      </c>
      <c r="H42" s="5">
        <v>79300</v>
      </c>
      <c r="I42" s="1" t="s">
        <v>35</v>
      </c>
      <c r="J42" s="1">
        <v>35</v>
      </c>
      <c r="K42" s="1" t="s">
        <v>19</v>
      </c>
      <c r="L42" s="1">
        <v>18</v>
      </c>
      <c r="M42" s="1" t="s">
        <v>18</v>
      </c>
      <c r="N42" s="2">
        <f t="shared" ca="1" si="1"/>
        <v>46221</v>
      </c>
      <c r="O42" s="1" t="str">
        <f ca="1">DATEDIF(Employee_TableData[[#This Row],[Date of Join]],Employee_TableData[[#This Row],[Today''s Date]],"y") &amp; "years"</f>
        <v>4years</v>
      </c>
      <c r="P42" s="3" t="str">
        <f>(Employee_TableData[[#This Row],[Employee ID]] &amp; " | " &amp; (Employee_TableData[[#This Row],[Name]]))</f>
        <v>ADPT0041 | Dell Molloy</v>
      </c>
      <c r="Q42" s="3" t="str" cm="1">
        <f t="array" ref="Q4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42" s="3">
        <f>DAY(Employee_TableData[[#This Row],[Date of Join]])</f>
        <v>29</v>
      </c>
      <c r="S42" s="3" t="str">
        <f>TEXT(Employee_TableData[[#This Row],[Date of Join]],"mmm")</f>
        <v>Sept</v>
      </c>
      <c r="T42" s="3">
        <f>YEAR(Employee_TableData[[#This Row],[Date of Join]])</f>
        <v>2021</v>
      </c>
    </row>
    <row r="43" spans="1:20" ht="12.75" x14ac:dyDescent="0.2">
      <c r="A43" s="1" t="s">
        <v>230</v>
      </c>
      <c r="B43" s="1" t="s">
        <v>81</v>
      </c>
      <c r="C43" s="1" t="s">
        <v>14</v>
      </c>
      <c r="D43" s="1" t="s">
        <v>22</v>
      </c>
      <c r="E43" s="2">
        <v>43875</v>
      </c>
      <c r="F43" s="1" t="s">
        <v>16</v>
      </c>
      <c r="G43" s="1" t="s">
        <v>38</v>
      </c>
      <c r="H43" s="5">
        <v>49000</v>
      </c>
      <c r="I43" s="1" t="s">
        <v>18</v>
      </c>
      <c r="J43" s="1">
        <v>35</v>
      </c>
      <c r="K43" s="1" t="s">
        <v>19</v>
      </c>
      <c r="L43" s="1">
        <v>13</v>
      </c>
      <c r="M43" s="1" t="s">
        <v>18</v>
      </c>
      <c r="N43" s="2">
        <f t="shared" ca="1" si="1"/>
        <v>46221</v>
      </c>
      <c r="O43" s="1" t="str">
        <f ca="1">DATEDIF(Employee_TableData[[#This Row],[Date of Join]],Employee_TableData[[#This Row],[Today''s Date]],"y") &amp; "years"</f>
        <v>6years</v>
      </c>
      <c r="P43" s="3" t="str">
        <f>(Employee_TableData[[#This Row],[Employee ID]] &amp; " | " &amp; (Employee_TableData[[#This Row],[Name]]))</f>
        <v>ADPT0042 | Ewart Laphorn</v>
      </c>
      <c r="Q43" s="3" t="str" cm="1">
        <f t="array" ref="Q4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43" s="3">
        <f>DAY(Employee_TableData[[#This Row],[Date of Join]])</f>
        <v>14</v>
      </c>
      <c r="S43" s="3" t="str">
        <f>TEXT(Employee_TableData[[#This Row],[Date of Join]],"mmm")</f>
        <v>Feb</v>
      </c>
      <c r="T43" s="3">
        <f>YEAR(Employee_TableData[[#This Row],[Date of Join]])</f>
        <v>2020</v>
      </c>
    </row>
    <row r="44" spans="1:20" ht="12.75" x14ac:dyDescent="0.2">
      <c r="A44" s="1" t="s">
        <v>231</v>
      </c>
      <c r="B44" s="1" t="s">
        <v>82</v>
      </c>
      <c r="C44" s="1" t="s">
        <v>21</v>
      </c>
      <c r="D44" s="1" t="s">
        <v>15</v>
      </c>
      <c r="E44" s="2">
        <v>44927</v>
      </c>
      <c r="F44" s="1" t="s">
        <v>37</v>
      </c>
      <c r="G44" s="1" t="s">
        <v>42</v>
      </c>
      <c r="H44" s="5">
        <v>44800</v>
      </c>
      <c r="I44" s="1" t="s">
        <v>18</v>
      </c>
      <c r="J44" s="1">
        <v>30</v>
      </c>
      <c r="K44" s="1" t="s">
        <v>19</v>
      </c>
      <c r="L44" s="1">
        <v>17</v>
      </c>
      <c r="M44" s="1" t="s">
        <v>18</v>
      </c>
      <c r="N44" s="2">
        <f t="shared" ca="1" si="1"/>
        <v>46221</v>
      </c>
      <c r="O44" s="1" t="str">
        <f ca="1">DATEDIF(Employee_TableData[[#This Row],[Date of Join]],Employee_TableData[[#This Row],[Today''s Date]],"y") &amp; "years"</f>
        <v>3years</v>
      </c>
      <c r="P44" s="3" t="str">
        <f>(Employee_TableData[[#This Row],[Employee ID]] &amp; " | " &amp; (Employee_TableData[[#This Row],[Name]]))</f>
        <v>ADPT0043 | Vic Radolf</v>
      </c>
      <c r="Q44" s="3" t="str" cm="1">
        <f t="array" ref="Q4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44" s="3">
        <f>DAY(Employee_TableData[[#This Row],[Date of Join]])</f>
        <v>1</v>
      </c>
      <c r="S44" s="3" t="str">
        <f>TEXT(Employee_TableData[[#This Row],[Date of Join]],"mmm")</f>
        <v>Jan</v>
      </c>
      <c r="T44" s="3">
        <f>YEAR(Employee_TableData[[#This Row],[Date of Join]])</f>
        <v>2023</v>
      </c>
    </row>
    <row r="45" spans="1:20" ht="12.75" x14ac:dyDescent="0.2">
      <c r="A45" s="1" t="s">
        <v>232</v>
      </c>
      <c r="B45" s="1" t="s">
        <v>83</v>
      </c>
      <c r="C45" s="1" t="s">
        <v>14</v>
      </c>
      <c r="D45" s="1" t="s">
        <v>26</v>
      </c>
      <c r="E45" s="2">
        <v>44890</v>
      </c>
      <c r="F45" s="1" t="s">
        <v>16</v>
      </c>
      <c r="G45" s="1" t="s">
        <v>27</v>
      </c>
      <c r="H45" s="5">
        <v>29700</v>
      </c>
      <c r="I45" s="1" t="s">
        <v>24</v>
      </c>
      <c r="J45" s="1">
        <v>32</v>
      </c>
      <c r="K45" s="1" t="s">
        <v>19</v>
      </c>
      <c r="L45" s="1">
        <v>15</v>
      </c>
      <c r="M45" s="1" t="s">
        <v>18</v>
      </c>
      <c r="N45" s="2">
        <f t="shared" ca="1" si="1"/>
        <v>46221</v>
      </c>
      <c r="O45" s="1" t="str">
        <f ca="1">DATEDIF(Employee_TableData[[#This Row],[Date of Join]],Employee_TableData[[#This Row],[Today''s Date]],"y") &amp; "years"</f>
        <v>3years</v>
      </c>
      <c r="P45" s="3" t="str">
        <f>(Employee_TableData[[#This Row],[Employee ID]] &amp; " | " &amp; (Employee_TableData[[#This Row],[Name]]))</f>
        <v>ADPT0044 | Virginia McConville</v>
      </c>
      <c r="Q45" s="3" t="str" cm="1">
        <f t="array" ref="Q4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45" s="3">
        <f>DAY(Employee_TableData[[#This Row],[Date of Join]])</f>
        <v>25</v>
      </c>
      <c r="S45" s="3" t="str">
        <f>TEXT(Employee_TableData[[#This Row],[Date of Join]],"mmm")</f>
        <v>Nov</v>
      </c>
      <c r="T45" s="3">
        <f>YEAR(Employee_TableData[[#This Row],[Date of Join]])</f>
        <v>2022</v>
      </c>
    </row>
    <row r="46" spans="1:20" ht="12.75" x14ac:dyDescent="0.2">
      <c r="A46" s="1" t="s">
        <v>233</v>
      </c>
      <c r="B46" s="1" t="s">
        <v>84</v>
      </c>
      <c r="C46" s="1" t="s">
        <v>21</v>
      </c>
      <c r="D46" s="1" t="s">
        <v>22</v>
      </c>
      <c r="E46" s="2">
        <v>43930</v>
      </c>
      <c r="F46" s="1" t="s">
        <v>16</v>
      </c>
      <c r="G46" s="1" t="s">
        <v>23</v>
      </c>
      <c r="H46" s="5">
        <v>39700</v>
      </c>
      <c r="I46" s="1" t="s">
        <v>24</v>
      </c>
      <c r="J46" s="1">
        <v>30</v>
      </c>
      <c r="K46" s="1" t="s">
        <v>19</v>
      </c>
      <c r="L46" s="1">
        <v>18</v>
      </c>
      <c r="M46" s="1" t="s">
        <v>18</v>
      </c>
      <c r="N46" s="2">
        <f t="shared" ca="1" si="1"/>
        <v>46221</v>
      </c>
      <c r="O46" s="1" t="str">
        <f ca="1">DATEDIF(Employee_TableData[[#This Row],[Date of Join]],Employee_TableData[[#This Row],[Today''s Date]],"y") &amp; "years"</f>
        <v>6years</v>
      </c>
      <c r="P46" s="3" t="str">
        <f>(Employee_TableData[[#This Row],[Employee ID]] &amp; " | " &amp; (Employee_TableData[[#This Row],[Name]]))</f>
        <v>ADPT0045 | Kaye Crocroft</v>
      </c>
      <c r="Q46" s="3" t="str" cm="1">
        <f t="array" ref="Q4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46" s="3">
        <f>DAY(Employee_TableData[[#This Row],[Date of Join]])</f>
        <v>9</v>
      </c>
      <c r="S46" s="3" t="str">
        <f>TEXT(Employee_TableData[[#This Row],[Date of Join]],"mmm")</f>
        <v>Apr</v>
      </c>
      <c r="T46" s="3">
        <f>YEAR(Employee_TableData[[#This Row],[Date of Join]])</f>
        <v>2020</v>
      </c>
    </row>
    <row r="47" spans="1:20" ht="12.75" x14ac:dyDescent="0.2">
      <c r="A47" s="1" t="s">
        <v>234</v>
      </c>
      <c r="B47" s="1" t="s">
        <v>85</v>
      </c>
      <c r="C47" s="1" t="s">
        <v>14</v>
      </c>
      <c r="D47" s="1" t="s">
        <v>15</v>
      </c>
      <c r="E47" s="2">
        <v>44500</v>
      </c>
      <c r="F47" s="1" t="s">
        <v>16</v>
      </c>
      <c r="G47" s="1" t="s">
        <v>17</v>
      </c>
      <c r="H47" s="5">
        <v>52500</v>
      </c>
      <c r="I47" s="1" t="s">
        <v>18</v>
      </c>
      <c r="J47" s="1">
        <v>56</v>
      </c>
      <c r="K47" s="1" t="s">
        <v>52</v>
      </c>
      <c r="L47" s="1">
        <v>16</v>
      </c>
      <c r="M47" s="1" t="s">
        <v>18</v>
      </c>
      <c r="N47" s="2">
        <f t="shared" ca="1" si="1"/>
        <v>46221</v>
      </c>
      <c r="O47" s="1" t="str">
        <f ca="1">DATEDIF(Employee_TableData[[#This Row],[Date of Join]],Employee_TableData[[#This Row],[Today''s Date]],"y") &amp; "years"</f>
        <v>4years</v>
      </c>
      <c r="P47" s="3" t="str">
        <f>(Employee_TableData[[#This Row],[Employee ID]] &amp; " | " &amp; (Employee_TableData[[#This Row],[Name]]))</f>
        <v>ADPT0046 | Mollie Hanway</v>
      </c>
      <c r="Q47" s="3" t="str" cm="1">
        <f t="array" ref="Q4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47" s="3">
        <f>DAY(Employee_TableData[[#This Row],[Date of Join]])</f>
        <v>31</v>
      </c>
      <c r="S47" s="3" t="str">
        <f>TEXT(Employee_TableData[[#This Row],[Date of Join]],"mmm")</f>
        <v>Oct</v>
      </c>
      <c r="T47" s="3">
        <f>YEAR(Employee_TableData[[#This Row],[Date of Join]])</f>
        <v>2021</v>
      </c>
    </row>
    <row r="48" spans="1:20" ht="12.75" x14ac:dyDescent="0.2">
      <c r="A48" s="1" t="s">
        <v>235</v>
      </c>
      <c r="B48" s="1" t="s">
        <v>86</v>
      </c>
      <c r="C48" s="1" t="s">
        <v>21</v>
      </c>
      <c r="D48" s="1" t="s">
        <v>33</v>
      </c>
      <c r="E48" s="2">
        <v>43326</v>
      </c>
      <c r="F48" s="1" t="s">
        <v>29</v>
      </c>
      <c r="G48" s="1" t="s">
        <v>51</v>
      </c>
      <c r="H48" s="5">
        <v>73500</v>
      </c>
      <c r="I48" s="1" t="s">
        <v>35</v>
      </c>
      <c r="J48" s="1">
        <v>63</v>
      </c>
      <c r="K48" s="1" t="s">
        <v>52</v>
      </c>
      <c r="L48" s="1">
        <v>23</v>
      </c>
      <c r="M48" s="1" t="s">
        <v>31</v>
      </c>
      <c r="N48" s="2">
        <f t="shared" ca="1" si="1"/>
        <v>46221</v>
      </c>
      <c r="O48" s="1" t="str">
        <f ca="1">DATEDIF(Employee_TableData[[#This Row],[Date of Join]],Employee_TableData[[#This Row],[Today''s Date]],"y") &amp; "years"</f>
        <v>7years</v>
      </c>
      <c r="P48" s="3" t="str">
        <f>(Employee_TableData[[#This Row],[Employee ID]] &amp; " | " &amp; (Employee_TableData[[#This Row],[Name]]))</f>
        <v>ADPT0047 | Hoyt D'Alesco</v>
      </c>
      <c r="Q48" s="3" t="str" cm="1">
        <f t="array" ref="Q4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48" s="3">
        <f>DAY(Employee_TableData[[#This Row],[Date of Join]])</f>
        <v>14</v>
      </c>
      <c r="S48" s="3" t="str">
        <f>TEXT(Employee_TableData[[#This Row],[Date of Join]],"mmm")</f>
        <v>Aug</v>
      </c>
      <c r="T48" s="3">
        <f>YEAR(Employee_TableData[[#This Row],[Date of Join]])</f>
        <v>2018</v>
      </c>
    </row>
    <row r="49" spans="1:20" ht="12.75" x14ac:dyDescent="0.2">
      <c r="A49" s="1" t="s">
        <v>236</v>
      </c>
      <c r="B49" s="1" t="s">
        <v>87</v>
      </c>
      <c r="C49" s="1" t="s">
        <v>21</v>
      </c>
      <c r="D49" s="1" t="s">
        <v>15</v>
      </c>
      <c r="E49" s="2">
        <v>43551</v>
      </c>
      <c r="F49" s="1" t="s">
        <v>29</v>
      </c>
      <c r="G49" s="1" t="s">
        <v>44</v>
      </c>
      <c r="H49" s="5">
        <v>57800</v>
      </c>
      <c r="I49" s="1" t="s">
        <v>31</v>
      </c>
      <c r="J49" s="1">
        <v>34</v>
      </c>
      <c r="K49" s="1" t="s">
        <v>19</v>
      </c>
      <c r="L49" s="1">
        <v>14</v>
      </c>
      <c r="M49" s="1" t="s">
        <v>18</v>
      </c>
      <c r="N49" s="2">
        <f t="shared" ca="1" si="1"/>
        <v>46221</v>
      </c>
      <c r="O49" s="1" t="str">
        <f ca="1">DATEDIF(Employee_TableData[[#This Row],[Date of Join]],Employee_TableData[[#This Row],[Today''s Date]],"y") &amp; "years"</f>
        <v>7years</v>
      </c>
      <c r="P49" s="3" t="str">
        <f>(Employee_TableData[[#This Row],[Employee ID]] &amp; " | " &amp; (Employee_TableData[[#This Row],[Name]]))</f>
        <v>ADPT0048 | Crissie Cordel</v>
      </c>
      <c r="Q49" s="3" t="str" cm="1">
        <f t="array" ref="Q4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49" s="3">
        <f>DAY(Employee_TableData[[#This Row],[Date of Join]])</f>
        <v>27</v>
      </c>
      <c r="S49" s="3" t="str">
        <f>TEXT(Employee_TableData[[#This Row],[Date of Join]],"mmm")</f>
        <v>Mar</v>
      </c>
      <c r="T49" s="3">
        <f>YEAR(Employee_TableData[[#This Row],[Date of Join]])</f>
        <v>2019</v>
      </c>
    </row>
    <row r="50" spans="1:20" ht="12.75" x14ac:dyDescent="0.2">
      <c r="A50" s="1" t="s">
        <v>237</v>
      </c>
      <c r="B50" s="1" t="s">
        <v>88</v>
      </c>
      <c r="C50" s="1" t="s">
        <v>14</v>
      </c>
      <c r="D50" s="1" t="s">
        <v>26</v>
      </c>
      <c r="E50" s="2">
        <v>44754</v>
      </c>
      <c r="F50" s="1" t="s">
        <v>16</v>
      </c>
      <c r="G50" s="1" t="s">
        <v>27</v>
      </c>
      <c r="H50" s="5">
        <v>34900</v>
      </c>
      <c r="I50" s="1" t="s">
        <v>24</v>
      </c>
      <c r="J50" s="1">
        <v>30</v>
      </c>
      <c r="K50" s="1" t="s">
        <v>19</v>
      </c>
      <c r="L50" s="1">
        <v>19</v>
      </c>
      <c r="M50" s="1" t="s">
        <v>18</v>
      </c>
      <c r="N50" s="2">
        <f t="shared" ca="1" si="1"/>
        <v>46221</v>
      </c>
      <c r="O50" s="1" t="str">
        <f ca="1">DATEDIF(Employee_TableData[[#This Row],[Date of Join]],Employee_TableData[[#This Row],[Today''s Date]],"y") &amp; "years"</f>
        <v>4years</v>
      </c>
      <c r="P50" s="3" t="str">
        <f>(Employee_TableData[[#This Row],[Employee ID]] &amp; " | " &amp; (Employee_TableData[[#This Row],[Name]]))</f>
        <v>ADPT0049 | Myer McCory</v>
      </c>
      <c r="Q50" s="3" t="str" cm="1">
        <f t="array" ref="Q5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50" s="3">
        <f>DAY(Employee_TableData[[#This Row],[Date of Join]])</f>
        <v>12</v>
      </c>
      <c r="S50" s="3" t="str">
        <f>TEXT(Employee_TableData[[#This Row],[Date of Join]],"mmm")</f>
        <v>Jul</v>
      </c>
      <c r="T50" s="3">
        <f>YEAR(Employee_TableData[[#This Row],[Date of Join]])</f>
        <v>2022</v>
      </c>
    </row>
    <row r="51" spans="1:20" ht="12.75" x14ac:dyDescent="0.2">
      <c r="A51" s="1" t="s">
        <v>238</v>
      </c>
      <c r="B51" s="1" t="s">
        <v>89</v>
      </c>
      <c r="C51" s="1" t="s">
        <v>21</v>
      </c>
      <c r="D51" s="1" t="s">
        <v>22</v>
      </c>
      <c r="E51" s="2">
        <v>44311</v>
      </c>
      <c r="F51" s="1" t="s">
        <v>16</v>
      </c>
      <c r="G51" s="1" t="s">
        <v>42</v>
      </c>
      <c r="H51" s="5">
        <v>44400</v>
      </c>
      <c r="I51" s="1" t="s">
        <v>18</v>
      </c>
      <c r="J51" s="1">
        <v>32</v>
      </c>
      <c r="K51" s="1" t="s">
        <v>19</v>
      </c>
      <c r="L51" s="1">
        <v>18</v>
      </c>
      <c r="M51" s="1" t="s">
        <v>18</v>
      </c>
      <c r="N51" s="2">
        <f t="shared" ca="1" si="1"/>
        <v>46221</v>
      </c>
      <c r="O51" s="1" t="str">
        <f ca="1">DATEDIF(Employee_TableData[[#This Row],[Date of Join]],Employee_TableData[[#This Row],[Today''s Date]],"y") &amp; "years"</f>
        <v>5years</v>
      </c>
      <c r="P51" s="3" t="str">
        <f>(Employee_TableData[[#This Row],[Employee ID]] &amp; " | " &amp; (Employee_TableData[[#This Row],[Name]]))</f>
        <v>ADPT0050 | Enoch Dowrey</v>
      </c>
      <c r="Q51" s="3" t="str" cm="1">
        <f t="array" ref="Q5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51" s="3">
        <f>DAY(Employee_TableData[[#This Row],[Date of Join]])</f>
        <v>25</v>
      </c>
      <c r="S51" s="3" t="str">
        <f>TEXT(Employee_TableData[[#This Row],[Date of Join]],"mmm")</f>
        <v>Apr</v>
      </c>
      <c r="T51" s="3">
        <f>YEAR(Employee_TableData[[#This Row],[Date of Join]])</f>
        <v>2021</v>
      </c>
    </row>
    <row r="52" spans="1:20" ht="12.75" x14ac:dyDescent="0.2">
      <c r="A52" s="1" t="s">
        <v>239</v>
      </c>
      <c r="B52" s="1" t="s">
        <v>90</v>
      </c>
      <c r="C52" s="1" t="s">
        <v>21</v>
      </c>
      <c r="D52" s="1" t="s">
        <v>15</v>
      </c>
      <c r="E52" s="2">
        <v>44082</v>
      </c>
      <c r="F52" s="1" t="s">
        <v>16</v>
      </c>
      <c r="G52" s="1" t="s">
        <v>38</v>
      </c>
      <c r="H52" s="5">
        <v>46000</v>
      </c>
      <c r="I52" s="1" t="s">
        <v>18</v>
      </c>
      <c r="J52" s="1">
        <v>54</v>
      </c>
      <c r="K52" s="1" t="s">
        <v>52</v>
      </c>
      <c r="L52" s="1">
        <v>15</v>
      </c>
      <c r="M52" s="1" t="s">
        <v>18</v>
      </c>
      <c r="N52" s="2">
        <f t="shared" ca="1" si="1"/>
        <v>46221</v>
      </c>
      <c r="O52" s="1" t="str">
        <f ca="1">DATEDIF(Employee_TableData[[#This Row],[Date of Join]],Employee_TableData[[#This Row],[Today''s Date]],"y") &amp; "years"</f>
        <v>5years</v>
      </c>
      <c r="P52" s="3" t="str">
        <f>(Employee_TableData[[#This Row],[Employee ID]] &amp; " | " &amp; (Employee_TableData[[#This Row],[Name]]))</f>
        <v>ADPT0051 | Kissiah Maydway</v>
      </c>
      <c r="Q52" s="3" t="str" cm="1">
        <f t="array" ref="Q5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52" s="3">
        <f>DAY(Employee_TableData[[#This Row],[Date of Join]])</f>
        <v>8</v>
      </c>
      <c r="S52" s="3" t="str">
        <f>TEXT(Employee_TableData[[#This Row],[Date of Join]],"mmm")</f>
        <v>Sept</v>
      </c>
      <c r="T52" s="3">
        <f>YEAR(Employee_TableData[[#This Row],[Date of Join]])</f>
        <v>2020</v>
      </c>
    </row>
    <row r="53" spans="1:20" ht="12.75" x14ac:dyDescent="0.2">
      <c r="A53" s="1" t="s">
        <v>240</v>
      </c>
      <c r="B53" s="1" t="s">
        <v>91</v>
      </c>
      <c r="C53" s="1" t="s">
        <v>21</v>
      </c>
      <c r="D53" s="1" t="s">
        <v>33</v>
      </c>
      <c r="E53" s="2">
        <v>42848</v>
      </c>
      <c r="F53" s="1" t="s">
        <v>58</v>
      </c>
      <c r="G53" s="1" t="s">
        <v>46</v>
      </c>
      <c r="H53" s="5">
        <v>84800</v>
      </c>
      <c r="I53" s="1" t="s">
        <v>35</v>
      </c>
      <c r="J53" s="1">
        <v>34</v>
      </c>
      <c r="K53" s="1" t="s">
        <v>19</v>
      </c>
      <c r="L53" s="1">
        <v>18</v>
      </c>
      <c r="M53" s="1" t="s">
        <v>18</v>
      </c>
      <c r="N53" s="2">
        <f t="shared" ca="1" si="1"/>
        <v>46221</v>
      </c>
      <c r="O53" s="1" t="str">
        <f ca="1">DATEDIF(Employee_TableData[[#This Row],[Date of Join]],Employee_TableData[[#This Row],[Today''s Date]],"y") &amp; "years"</f>
        <v>9years</v>
      </c>
      <c r="P53" s="3" t="str">
        <f>(Employee_TableData[[#This Row],[Employee ID]] &amp; " | " &amp; (Employee_TableData[[#This Row],[Name]]))</f>
        <v>ADPT0052 | Ambros Murthwaite</v>
      </c>
      <c r="Q53" s="3" t="str" cm="1">
        <f t="array" ref="Q5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53" s="3">
        <f>DAY(Employee_TableData[[#This Row],[Date of Join]])</f>
        <v>23</v>
      </c>
      <c r="S53" s="3" t="str">
        <f>TEXT(Employee_TableData[[#This Row],[Date of Join]],"mmm")</f>
        <v>Apr</v>
      </c>
      <c r="T53" s="3">
        <f>YEAR(Employee_TableData[[#This Row],[Date of Join]])</f>
        <v>2017</v>
      </c>
    </row>
    <row r="54" spans="1:20" ht="12.75" x14ac:dyDescent="0.2">
      <c r="A54" s="1" t="s">
        <v>241</v>
      </c>
      <c r="B54" s="1" t="s">
        <v>92</v>
      </c>
      <c r="C54" s="1" t="s">
        <v>14</v>
      </c>
      <c r="D54" s="1" t="s">
        <v>26</v>
      </c>
      <c r="E54" s="2">
        <v>44971</v>
      </c>
      <c r="F54" s="1" t="s">
        <v>37</v>
      </c>
      <c r="G54" s="1" t="s">
        <v>23</v>
      </c>
      <c r="H54" s="5">
        <v>39300</v>
      </c>
      <c r="I54" s="1" t="s">
        <v>24</v>
      </c>
      <c r="J54" s="1">
        <v>38</v>
      </c>
      <c r="K54" s="1" t="s">
        <v>39</v>
      </c>
      <c r="L54" s="1">
        <v>16</v>
      </c>
      <c r="M54" s="1" t="s">
        <v>18</v>
      </c>
      <c r="N54" s="2">
        <f t="shared" ca="1" si="1"/>
        <v>46221</v>
      </c>
      <c r="O54" s="1" t="str">
        <f ca="1">DATEDIF(Employee_TableData[[#This Row],[Date of Join]],Employee_TableData[[#This Row],[Today''s Date]],"y") &amp; "years"</f>
        <v>3years</v>
      </c>
      <c r="P54" s="3" t="str">
        <f>(Employee_TableData[[#This Row],[Employee ID]] &amp; " | " &amp; (Employee_TableData[[#This Row],[Name]]))</f>
        <v>ADPT0053 | Torrance Collier</v>
      </c>
      <c r="Q54" s="3" t="str" cm="1">
        <f t="array" ref="Q5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54" s="3">
        <f>DAY(Employee_TableData[[#This Row],[Date of Join]])</f>
        <v>14</v>
      </c>
      <c r="S54" s="3" t="str">
        <f>TEXT(Employee_TableData[[#This Row],[Date of Join]],"mmm")</f>
        <v>Feb</v>
      </c>
      <c r="T54" s="3">
        <f>YEAR(Employee_TableData[[#This Row],[Date of Join]])</f>
        <v>2023</v>
      </c>
    </row>
    <row r="55" spans="1:20" ht="12.75" x14ac:dyDescent="0.2">
      <c r="A55" s="1" t="s">
        <v>242</v>
      </c>
      <c r="B55" s="1" t="s">
        <v>93</v>
      </c>
      <c r="C55" s="1" t="s">
        <v>14</v>
      </c>
      <c r="D55" s="1" t="s">
        <v>22</v>
      </c>
      <c r="E55" s="2">
        <v>44926</v>
      </c>
      <c r="F55" s="1" t="s">
        <v>16</v>
      </c>
      <c r="G55" s="1" t="s">
        <v>27</v>
      </c>
      <c r="H55" s="5">
        <v>29000</v>
      </c>
      <c r="I55" s="1" t="s">
        <v>24</v>
      </c>
      <c r="J55" s="1">
        <v>30</v>
      </c>
      <c r="K55" s="1" t="s">
        <v>19</v>
      </c>
      <c r="L55" s="1">
        <v>30</v>
      </c>
      <c r="M55" s="1" t="s">
        <v>31</v>
      </c>
      <c r="N55" s="2">
        <f t="shared" ca="1" si="1"/>
        <v>46221</v>
      </c>
      <c r="O55" s="1" t="str">
        <f ca="1">DATEDIF(Employee_TableData[[#This Row],[Date of Join]],Employee_TableData[[#This Row],[Today''s Date]],"y") &amp; "years"</f>
        <v>3years</v>
      </c>
      <c r="P55" s="3" t="str">
        <f>(Employee_TableData[[#This Row],[Employee ID]] &amp; " | " &amp; (Employee_TableData[[#This Row],[Name]]))</f>
        <v>ADPT0054 | Allene Gobbet</v>
      </c>
      <c r="Q55" s="3" t="str" cm="1">
        <f t="array" ref="Q5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55" s="3">
        <f>DAY(Employee_TableData[[#This Row],[Date of Join]])</f>
        <v>31</v>
      </c>
      <c r="S55" s="3" t="str">
        <f>TEXT(Employee_TableData[[#This Row],[Date of Join]],"mmm")</f>
        <v>Dec</v>
      </c>
      <c r="T55" s="3">
        <f>YEAR(Employee_TableData[[#This Row],[Date of Join]])</f>
        <v>2022</v>
      </c>
    </row>
    <row r="56" spans="1:20" ht="12.75" x14ac:dyDescent="0.2">
      <c r="A56" s="1" t="s">
        <v>243</v>
      </c>
      <c r="B56" s="1" t="s">
        <v>94</v>
      </c>
      <c r="C56" s="1" t="s">
        <v>21</v>
      </c>
      <c r="D56" s="1" t="s">
        <v>15</v>
      </c>
      <c r="E56" s="2">
        <v>43631</v>
      </c>
      <c r="F56" s="1" t="s">
        <v>29</v>
      </c>
      <c r="G56" s="1" t="s">
        <v>17</v>
      </c>
      <c r="H56" s="5">
        <v>53900</v>
      </c>
      <c r="I56" s="1" t="s">
        <v>18</v>
      </c>
      <c r="J56" s="1">
        <v>32</v>
      </c>
      <c r="K56" s="1" t="s">
        <v>19</v>
      </c>
      <c r="L56" s="1">
        <v>23</v>
      </c>
      <c r="M56" s="1" t="s">
        <v>31</v>
      </c>
      <c r="N56" s="2">
        <f t="shared" ca="1" si="1"/>
        <v>46221</v>
      </c>
      <c r="O56" s="1" t="str">
        <f ca="1">DATEDIF(Employee_TableData[[#This Row],[Date of Join]],Employee_TableData[[#This Row],[Today''s Date]],"y") &amp; "years"</f>
        <v>7years</v>
      </c>
      <c r="P56" s="3" t="str">
        <f>(Employee_TableData[[#This Row],[Employee ID]] &amp; " | " &amp; (Employee_TableData[[#This Row],[Name]]))</f>
        <v>ADPT0055 | Violante Courtonne</v>
      </c>
      <c r="Q56" s="3" t="str" cm="1">
        <f t="array" ref="Q5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56" s="3">
        <f>DAY(Employee_TableData[[#This Row],[Date of Join]])</f>
        <v>15</v>
      </c>
      <c r="S56" s="3" t="str">
        <f>TEXT(Employee_TableData[[#This Row],[Date of Join]],"mmm")</f>
        <v>Jun</v>
      </c>
      <c r="T56" s="3">
        <f>YEAR(Employee_TableData[[#This Row],[Date of Join]])</f>
        <v>2019</v>
      </c>
    </row>
    <row r="57" spans="1:20" ht="12.75" x14ac:dyDescent="0.2">
      <c r="A57" s="1" t="s">
        <v>244</v>
      </c>
      <c r="B57" s="1" t="s">
        <v>95</v>
      </c>
      <c r="C57" s="1" t="s">
        <v>14</v>
      </c>
      <c r="D57" s="1" t="s">
        <v>33</v>
      </c>
      <c r="E57" s="2">
        <v>43401</v>
      </c>
      <c r="F57" s="1" t="s">
        <v>29</v>
      </c>
      <c r="G57" s="1" t="s">
        <v>30</v>
      </c>
      <c r="H57" s="5">
        <v>63600</v>
      </c>
      <c r="I57" s="1" t="s">
        <v>31</v>
      </c>
      <c r="J57" s="1">
        <v>35</v>
      </c>
      <c r="K57" s="1" t="s">
        <v>19</v>
      </c>
      <c r="L57" s="1">
        <v>10</v>
      </c>
      <c r="M57" s="1" t="s">
        <v>24</v>
      </c>
      <c r="N57" s="2">
        <f t="shared" ca="1" si="1"/>
        <v>46221</v>
      </c>
      <c r="O57" s="1" t="str">
        <f ca="1">DATEDIF(Employee_TableData[[#This Row],[Date of Join]],Employee_TableData[[#This Row],[Today''s Date]],"y") &amp; "years"</f>
        <v>7years</v>
      </c>
      <c r="P57" s="3" t="str">
        <f>(Employee_TableData[[#This Row],[Employee ID]] &amp; " | " &amp; (Employee_TableData[[#This Row],[Name]]))</f>
        <v>ADPT0056 | Merrilee Plenty</v>
      </c>
      <c r="Q57" s="3" t="str" cm="1">
        <f t="array" ref="Q5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57" s="3">
        <f>DAY(Employee_TableData[[#This Row],[Date of Join]])</f>
        <v>28</v>
      </c>
      <c r="S57" s="3" t="str">
        <f>TEXT(Employee_TableData[[#This Row],[Date of Join]],"mmm")</f>
        <v>Oct</v>
      </c>
      <c r="T57" s="3">
        <f>YEAR(Employee_TableData[[#This Row],[Date of Join]])</f>
        <v>2018</v>
      </c>
    </row>
    <row r="58" spans="1:20" ht="12.75" x14ac:dyDescent="0.2">
      <c r="A58" s="1" t="s">
        <v>245</v>
      </c>
      <c r="B58" s="1" t="s">
        <v>96</v>
      </c>
      <c r="C58" s="1" t="s">
        <v>21</v>
      </c>
      <c r="D58" s="1" t="s">
        <v>26</v>
      </c>
      <c r="E58" s="2">
        <v>44543</v>
      </c>
      <c r="F58" s="1" t="s">
        <v>16</v>
      </c>
      <c r="G58" s="1" t="s">
        <v>34</v>
      </c>
      <c r="H58" s="5">
        <v>77000</v>
      </c>
      <c r="I58" s="1" t="s">
        <v>35</v>
      </c>
      <c r="J58" s="1">
        <v>36</v>
      </c>
      <c r="K58" s="1" t="s">
        <v>39</v>
      </c>
      <c r="L58" s="1">
        <v>17</v>
      </c>
      <c r="M58" s="1" t="s">
        <v>18</v>
      </c>
      <c r="N58" s="2">
        <f t="shared" ca="1" si="1"/>
        <v>46221</v>
      </c>
      <c r="O58" s="1" t="str">
        <f ca="1">DATEDIF(Employee_TableData[[#This Row],[Date of Join]],Employee_TableData[[#This Row],[Today''s Date]],"y") &amp; "years"</f>
        <v>4years</v>
      </c>
      <c r="P58" s="3" t="str">
        <f>(Employee_TableData[[#This Row],[Employee ID]] &amp; " | " &amp; (Employee_TableData[[#This Row],[Name]]))</f>
        <v>ADPT0057 | Tatum Hush</v>
      </c>
      <c r="Q58" s="3" t="str" cm="1">
        <f t="array" ref="Q5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58" s="3">
        <f>DAY(Employee_TableData[[#This Row],[Date of Join]])</f>
        <v>13</v>
      </c>
      <c r="S58" s="3" t="str">
        <f>TEXT(Employee_TableData[[#This Row],[Date of Join]],"mmm")</f>
        <v>Dec</v>
      </c>
      <c r="T58" s="3">
        <f>YEAR(Employee_TableData[[#This Row],[Date of Join]])</f>
        <v>2021</v>
      </c>
    </row>
    <row r="59" spans="1:20" ht="12.75" x14ac:dyDescent="0.2">
      <c r="A59" s="1" t="s">
        <v>246</v>
      </c>
      <c r="B59" s="1" t="s">
        <v>97</v>
      </c>
      <c r="C59" s="1" t="s">
        <v>14</v>
      </c>
      <c r="D59" s="1" t="s">
        <v>15</v>
      </c>
      <c r="E59" s="2">
        <v>44038</v>
      </c>
      <c r="F59" s="1" t="s">
        <v>16</v>
      </c>
      <c r="G59" s="1" t="s">
        <v>38</v>
      </c>
      <c r="H59" s="5">
        <v>49700</v>
      </c>
      <c r="I59" s="1" t="s">
        <v>18</v>
      </c>
      <c r="J59" s="1">
        <v>31</v>
      </c>
      <c r="K59" s="1" t="s">
        <v>19</v>
      </c>
      <c r="L59" s="1">
        <v>19</v>
      </c>
      <c r="M59" s="1" t="s">
        <v>18</v>
      </c>
      <c r="N59" s="2">
        <f t="shared" ca="1" si="1"/>
        <v>46221</v>
      </c>
      <c r="O59" s="1" t="str">
        <f ca="1">DATEDIF(Employee_TableData[[#This Row],[Date of Join]],Employee_TableData[[#This Row],[Today''s Date]],"y") &amp; "years"</f>
        <v>5years</v>
      </c>
      <c r="P59" s="3" t="str">
        <f>(Employee_TableData[[#This Row],[Employee ID]] &amp; " | " &amp; (Employee_TableData[[#This Row],[Name]]))</f>
        <v>ADPT0058 | Kath Bletsoe</v>
      </c>
      <c r="Q59" s="3" t="str" cm="1">
        <f t="array" ref="Q5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59" s="3">
        <f>DAY(Employee_TableData[[#This Row],[Date of Join]])</f>
        <v>26</v>
      </c>
      <c r="S59" s="3" t="str">
        <f>TEXT(Employee_TableData[[#This Row],[Date of Join]],"mmm")</f>
        <v>Jul</v>
      </c>
      <c r="T59" s="3">
        <f>YEAR(Employee_TableData[[#This Row],[Date of Join]])</f>
        <v>2020</v>
      </c>
    </row>
    <row r="60" spans="1:20" ht="12.75" x14ac:dyDescent="0.2">
      <c r="A60" s="1" t="s">
        <v>247</v>
      </c>
      <c r="B60" s="1" t="s">
        <v>98</v>
      </c>
      <c r="C60" s="1" t="s">
        <v>21</v>
      </c>
      <c r="D60" s="1" t="s">
        <v>22</v>
      </c>
      <c r="E60" s="2">
        <v>45099</v>
      </c>
      <c r="F60" s="1" t="s">
        <v>37</v>
      </c>
      <c r="G60" s="1" t="s">
        <v>42</v>
      </c>
      <c r="H60" s="5">
        <v>43000</v>
      </c>
      <c r="I60" s="1" t="s">
        <v>18</v>
      </c>
      <c r="J60" s="1">
        <v>34</v>
      </c>
      <c r="K60" s="1" t="s">
        <v>19</v>
      </c>
      <c r="L60" s="1">
        <v>4</v>
      </c>
      <c r="M60" s="1" t="s">
        <v>24</v>
      </c>
      <c r="N60" s="2">
        <f t="shared" ca="1" si="1"/>
        <v>46221</v>
      </c>
      <c r="O60" s="1" t="str">
        <f ca="1">DATEDIF(Employee_TableData[[#This Row],[Date of Join]],Employee_TableData[[#This Row],[Today''s Date]],"y") &amp; "years"</f>
        <v>3years</v>
      </c>
      <c r="P60" s="3" t="str">
        <f>(Employee_TableData[[#This Row],[Employee ID]] &amp; " | " &amp; (Employee_TableData[[#This Row],[Name]]))</f>
        <v>ADPT0059 | Hinda Label</v>
      </c>
      <c r="Q60" s="3" t="str" cm="1">
        <f t="array" ref="Q6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0" s="3">
        <f>DAY(Employee_TableData[[#This Row],[Date of Join]])</f>
        <v>22</v>
      </c>
      <c r="S60" s="3" t="str">
        <f>TEXT(Employee_TableData[[#This Row],[Date of Join]],"mmm")</f>
        <v>Jun</v>
      </c>
      <c r="T60" s="3">
        <f>YEAR(Employee_TableData[[#This Row],[Date of Join]])</f>
        <v>2023</v>
      </c>
    </row>
    <row r="61" spans="1:20" ht="12.75" x14ac:dyDescent="0.2">
      <c r="A61" s="1" t="s">
        <v>248</v>
      </c>
      <c r="B61" s="1" t="s">
        <v>99</v>
      </c>
      <c r="C61" s="1" t="s">
        <v>21</v>
      </c>
      <c r="D61" s="1" t="s">
        <v>15</v>
      </c>
      <c r="E61" s="2">
        <v>43722</v>
      </c>
      <c r="F61" s="1" t="s">
        <v>29</v>
      </c>
      <c r="G61" s="1" t="s">
        <v>27</v>
      </c>
      <c r="H61" s="5">
        <v>36200</v>
      </c>
      <c r="I61" s="1" t="s">
        <v>24</v>
      </c>
      <c r="J61" s="1">
        <v>36</v>
      </c>
      <c r="K61" s="1" t="s">
        <v>39</v>
      </c>
      <c r="L61" s="1">
        <v>19</v>
      </c>
      <c r="M61" s="1" t="s">
        <v>18</v>
      </c>
      <c r="N61" s="2">
        <f t="shared" ca="1" si="1"/>
        <v>46221</v>
      </c>
      <c r="O61" s="1" t="str">
        <f ca="1">DATEDIF(Employee_TableData[[#This Row],[Date of Join]],Employee_TableData[[#This Row],[Today''s Date]],"y") &amp; "years"</f>
        <v>6years</v>
      </c>
      <c r="P61" s="3" t="str">
        <f>(Employee_TableData[[#This Row],[Employee ID]] &amp; " | " &amp; (Employee_TableData[[#This Row],[Name]]))</f>
        <v>ADPT0060 | Shari McNee</v>
      </c>
      <c r="Q61" s="3" t="str" cm="1">
        <f t="array" ref="Q6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61" s="3">
        <f>DAY(Employee_TableData[[#This Row],[Date of Join]])</f>
        <v>14</v>
      </c>
      <c r="S61" s="3" t="str">
        <f>TEXT(Employee_TableData[[#This Row],[Date of Join]],"mmm")</f>
        <v>Sept</v>
      </c>
      <c r="T61" s="3">
        <f>YEAR(Employee_TableData[[#This Row],[Date of Join]])</f>
        <v>2019</v>
      </c>
    </row>
    <row r="62" spans="1:20" ht="12.75" x14ac:dyDescent="0.2">
      <c r="A62" s="1" t="s">
        <v>249</v>
      </c>
      <c r="B62" s="1" t="s">
        <v>100</v>
      </c>
      <c r="C62" s="1" t="s">
        <v>14</v>
      </c>
      <c r="D62" s="1" t="s">
        <v>33</v>
      </c>
      <c r="E62" s="2">
        <v>43196</v>
      </c>
      <c r="F62" s="1" t="s">
        <v>29</v>
      </c>
      <c r="G62" s="1" t="s">
        <v>51</v>
      </c>
      <c r="H62" s="5">
        <v>70800</v>
      </c>
      <c r="I62" s="1" t="s">
        <v>35</v>
      </c>
      <c r="J62" s="1">
        <v>37</v>
      </c>
      <c r="K62" s="1" t="s">
        <v>39</v>
      </c>
      <c r="L62" s="1">
        <v>18</v>
      </c>
      <c r="M62" s="1" t="s">
        <v>18</v>
      </c>
      <c r="N62" s="2">
        <f t="shared" ca="1" si="1"/>
        <v>46221</v>
      </c>
      <c r="O62" s="1" t="str">
        <f ca="1">DATEDIF(Employee_TableData[[#This Row],[Date of Join]],Employee_TableData[[#This Row],[Today''s Date]],"y") &amp; "years"</f>
        <v>8years</v>
      </c>
      <c r="P62" s="3" t="str">
        <f>(Employee_TableData[[#This Row],[Employee ID]] &amp; " | " &amp; (Employee_TableData[[#This Row],[Name]]))</f>
        <v>ADPT0061 | My Hanscome</v>
      </c>
      <c r="Q62" s="3" t="str" cm="1">
        <f t="array" ref="Q6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2" s="3">
        <f>DAY(Employee_TableData[[#This Row],[Date of Join]])</f>
        <v>6</v>
      </c>
      <c r="S62" s="3" t="str">
        <f>TEXT(Employee_TableData[[#This Row],[Date of Join]],"mmm")</f>
        <v>Apr</v>
      </c>
      <c r="T62" s="3">
        <f>YEAR(Employee_TableData[[#This Row],[Date of Join]])</f>
        <v>2018</v>
      </c>
    </row>
    <row r="63" spans="1:20" ht="12.75" x14ac:dyDescent="0.2">
      <c r="A63" s="1" t="s">
        <v>250</v>
      </c>
      <c r="B63" s="1" t="s">
        <v>101</v>
      </c>
      <c r="C63" s="1" t="s">
        <v>14</v>
      </c>
      <c r="D63" s="1" t="s">
        <v>26</v>
      </c>
      <c r="E63" s="2">
        <v>43849</v>
      </c>
      <c r="F63" s="1" t="s">
        <v>16</v>
      </c>
      <c r="G63" s="1" t="s">
        <v>44</v>
      </c>
      <c r="H63" s="5">
        <v>55700</v>
      </c>
      <c r="I63" s="1" t="s">
        <v>31</v>
      </c>
      <c r="J63" s="1">
        <v>32</v>
      </c>
      <c r="K63" s="1" t="s">
        <v>19</v>
      </c>
      <c r="L63" s="1">
        <v>22</v>
      </c>
      <c r="M63" s="1" t="s">
        <v>31</v>
      </c>
      <c r="N63" s="2">
        <f t="shared" ca="1" si="1"/>
        <v>46221</v>
      </c>
      <c r="O63" s="1" t="str">
        <f ca="1">DATEDIF(Employee_TableData[[#This Row],[Date of Join]],Employee_TableData[[#This Row],[Today''s Date]],"y") &amp; "years"</f>
        <v>6years</v>
      </c>
      <c r="P63" s="3" t="str">
        <f>(Employee_TableData[[#This Row],[Employee ID]] &amp; " | " &amp; (Employee_TableData[[#This Row],[Name]]))</f>
        <v>ADPT0062 | Drusy MacCombe</v>
      </c>
      <c r="Q63" s="3" t="str" cm="1">
        <f t="array" ref="Q6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3" s="3">
        <f>DAY(Employee_TableData[[#This Row],[Date of Join]])</f>
        <v>19</v>
      </c>
      <c r="S63" s="3" t="str">
        <f>TEXT(Employee_TableData[[#This Row],[Date of Join]],"mmm")</f>
        <v>Jan</v>
      </c>
      <c r="T63" s="3">
        <f>YEAR(Employee_TableData[[#This Row],[Date of Join]])</f>
        <v>2020</v>
      </c>
    </row>
    <row r="64" spans="1:20" ht="12.75" x14ac:dyDescent="0.2">
      <c r="A64" s="1" t="s">
        <v>251</v>
      </c>
      <c r="B64" s="1" t="s">
        <v>102</v>
      </c>
      <c r="C64" s="1" t="s">
        <v>21</v>
      </c>
      <c r="D64" s="1" t="s">
        <v>22</v>
      </c>
      <c r="E64" s="2">
        <v>44746</v>
      </c>
      <c r="F64" s="1" t="s">
        <v>16</v>
      </c>
      <c r="G64" s="1" t="s">
        <v>46</v>
      </c>
      <c r="H64" s="5">
        <v>83600</v>
      </c>
      <c r="I64" s="1" t="s">
        <v>35</v>
      </c>
      <c r="J64" s="1">
        <v>33</v>
      </c>
      <c r="K64" s="1" t="s">
        <v>19</v>
      </c>
      <c r="L64" s="1">
        <v>18</v>
      </c>
      <c r="M64" s="1" t="s">
        <v>18</v>
      </c>
      <c r="N64" s="2">
        <f t="shared" ca="1" si="1"/>
        <v>46221</v>
      </c>
      <c r="O64" s="1" t="str">
        <f ca="1">DATEDIF(Employee_TableData[[#This Row],[Date of Join]],Employee_TableData[[#This Row],[Today''s Date]],"y") &amp; "years"</f>
        <v>4years</v>
      </c>
      <c r="P64" s="3" t="str">
        <f>(Employee_TableData[[#This Row],[Employee ID]] &amp; " | " &amp; (Employee_TableData[[#This Row],[Name]]))</f>
        <v>ADPT0063 | Halimeda Kuscha</v>
      </c>
      <c r="Q64" s="3" t="str" cm="1">
        <f t="array" ref="Q6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4" s="3">
        <f>DAY(Employee_TableData[[#This Row],[Date of Join]])</f>
        <v>4</v>
      </c>
      <c r="S64" s="3" t="str">
        <f>TEXT(Employee_TableData[[#This Row],[Date of Join]],"mmm")</f>
        <v>Jul</v>
      </c>
      <c r="T64" s="3">
        <f>YEAR(Employee_TableData[[#This Row],[Date of Join]])</f>
        <v>2022</v>
      </c>
    </row>
    <row r="65" spans="1:20" ht="12.75" x14ac:dyDescent="0.2">
      <c r="A65" s="1" t="s">
        <v>252</v>
      </c>
      <c r="B65" s="1" t="s">
        <v>103</v>
      </c>
      <c r="C65" s="1" t="s">
        <v>14</v>
      </c>
      <c r="D65" s="1" t="s">
        <v>15</v>
      </c>
      <c r="E65" s="2">
        <v>44425</v>
      </c>
      <c r="F65" s="1" t="s">
        <v>16</v>
      </c>
      <c r="G65" s="1" t="s">
        <v>23</v>
      </c>
      <c r="H65" s="5">
        <v>39800</v>
      </c>
      <c r="I65" s="1" t="s">
        <v>24</v>
      </c>
      <c r="J65" s="1">
        <v>31</v>
      </c>
      <c r="K65" s="1" t="s">
        <v>19</v>
      </c>
      <c r="L65" s="1">
        <v>15</v>
      </c>
      <c r="M65" s="1" t="s">
        <v>18</v>
      </c>
      <c r="N65" s="2">
        <f t="shared" ca="1" si="1"/>
        <v>46221</v>
      </c>
      <c r="O65" s="1" t="str">
        <f ca="1">DATEDIF(Employee_TableData[[#This Row],[Date of Join]],Employee_TableData[[#This Row],[Today''s Date]],"y") &amp; "years"</f>
        <v>4years</v>
      </c>
      <c r="P65" s="3" t="str">
        <f>(Employee_TableData[[#This Row],[Employee ID]] &amp; " | " &amp; (Employee_TableData[[#This Row],[Name]]))</f>
        <v>ADPT0064 | William Reeveley</v>
      </c>
      <c r="Q65" s="3" t="str" cm="1">
        <f t="array" ref="Q6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65" s="3">
        <f>DAY(Employee_TableData[[#This Row],[Date of Join]])</f>
        <v>17</v>
      </c>
      <c r="S65" s="3" t="str">
        <f>TEXT(Employee_TableData[[#This Row],[Date of Join]],"mmm")</f>
        <v>Aug</v>
      </c>
      <c r="T65" s="3">
        <f>YEAR(Employee_TableData[[#This Row],[Date of Join]])</f>
        <v>2021</v>
      </c>
    </row>
    <row r="66" spans="1:20" ht="12.75" x14ac:dyDescent="0.2">
      <c r="A66" s="1" t="s">
        <v>253</v>
      </c>
      <c r="B66" s="1" t="s">
        <v>104</v>
      </c>
      <c r="C66" s="1" t="s">
        <v>21</v>
      </c>
      <c r="D66" s="1" t="s">
        <v>33</v>
      </c>
      <c r="E66" s="2">
        <v>43444</v>
      </c>
      <c r="F66" s="1" t="s">
        <v>29</v>
      </c>
      <c r="G66" s="1" t="s">
        <v>17</v>
      </c>
      <c r="H66" s="5">
        <v>51400</v>
      </c>
      <c r="I66" s="1" t="s">
        <v>18</v>
      </c>
      <c r="J66" s="1">
        <v>34</v>
      </c>
      <c r="K66" s="1" t="s">
        <v>19</v>
      </c>
      <c r="L66" s="1">
        <v>8</v>
      </c>
      <c r="M66" s="1" t="s">
        <v>24</v>
      </c>
      <c r="N66" s="2">
        <f t="shared" ref="N66:N97" ca="1" si="2">TODAY()</f>
        <v>46221</v>
      </c>
      <c r="O66" s="1" t="str">
        <f ca="1">DATEDIF(Employee_TableData[[#This Row],[Date of Join]],Employee_TableData[[#This Row],[Today''s Date]],"y") &amp; "years"</f>
        <v>7years</v>
      </c>
      <c r="P66" s="3" t="str">
        <f>(Employee_TableData[[#This Row],[Employee ID]] &amp; " | " &amp; (Employee_TableData[[#This Row],[Name]]))</f>
        <v>ADPT0065 | Tracy Renad</v>
      </c>
      <c r="Q66" s="3" t="str" cm="1">
        <f t="array" ref="Q6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6" s="3">
        <f>DAY(Employee_TableData[[#This Row],[Date of Join]])</f>
        <v>10</v>
      </c>
      <c r="S66" s="3" t="str">
        <f>TEXT(Employee_TableData[[#This Row],[Date of Join]],"mmm")</f>
        <v>Dec</v>
      </c>
      <c r="T66" s="3">
        <f>YEAR(Employee_TableData[[#This Row],[Date of Join]])</f>
        <v>2018</v>
      </c>
    </row>
    <row r="67" spans="1:20" ht="12.75" x14ac:dyDescent="0.2">
      <c r="A67" s="1" t="s">
        <v>254</v>
      </c>
      <c r="B67" s="1" t="s">
        <v>105</v>
      </c>
      <c r="C67" s="1" t="s">
        <v>14</v>
      </c>
      <c r="D67" s="1" t="s">
        <v>26</v>
      </c>
      <c r="E67" s="2">
        <v>43731</v>
      </c>
      <c r="F67" s="1" t="s">
        <v>29</v>
      </c>
      <c r="G67" s="1" t="s">
        <v>30</v>
      </c>
      <c r="H67" s="5">
        <v>63100</v>
      </c>
      <c r="I67" s="1" t="s">
        <v>31</v>
      </c>
      <c r="J67" s="1">
        <v>30</v>
      </c>
      <c r="K67" s="1" t="s">
        <v>19</v>
      </c>
      <c r="L67" s="1">
        <v>21</v>
      </c>
      <c r="M67" s="1" t="s">
        <v>31</v>
      </c>
      <c r="N67" s="2">
        <f t="shared" ca="1" si="2"/>
        <v>46221</v>
      </c>
      <c r="O67" s="1" t="str">
        <f ca="1">DATEDIF(Employee_TableData[[#This Row],[Date of Join]],Employee_TableData[[#This Row],[Today''s Date]],"y") &amp; "years"</f>
        <v>6years</v>
      </c>
      <c r="P67" s="3" t="str">
        <f>(Employee_TableData[[#This Row],[Employee ID]] &amp; " | " &amp; (Employee_TableData[[#This Row],[Name]]))</f>
        <v>ADPT0066 | Kassi Jonson</v>
      </c>
      <c r="Q67" s="3" t="str" cm="1">
        <f t="array" ref="Q6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7" s="3">
        <f>DAY(Employee_TableData[[#This Row],[Date of Join]])</f>
        <v>23</v>
      </c>
      <c r="S67" s="3" t="str">
        <f>TEXT(Employee_TableData[[#This Row],[Date of Join]],"mmm")</f>
        <v>Sept</v>
      </c>
      <c r="T67" s="3">
        <f>YEAR(Employee_TableData[[#This Row],[Date of Join]])</f>
        <v>2019</v>
      </c>
    </row>
    <row r="68" spans="1:20" ht="12.75" x14ac:dyDescent="0.2">
      <c r="A68" s="1" t="s">
        <v>255</v>
      </c>
      <c r="B68" s="1" t="s">
        <v>106</v>
      </c>
      <c r="C68" s="1" t="s">
        <v>21</v>
      </c>
      <c r="D68" s="1" t="s">
        <v>15</v>
      </c>
      <c r="E68" s="2">
        <v>44607</v>
      </c>
      <c r="F68" s="1" t="s">
        <v>16</v>
      </c>
      <c r="G68" s="1" t="s">
        <v>34</v>
      </c>
      <c r="H68" s="5">
        <v>76300</v>
      </c>
      <c r="I68" s="1" t="s">
        <v>35</v>
      </c>
      <c r="J68" s="1">
        <v>65</v>
      </c>
      <c r="K68" s="1" t="s">
        <v>52</v>
      </c>
      <c r="L68" s="1">
        <v>16</v>
      </c>
      <c r="M68" s="1" t="s">
        <v>18</v>
      </c>
      <c r="N68" s="2">
        <f t="shared" ca="1" si="2"/>
        <v>46221</v>
      </c>
      <c r="O68" s="1" t="str">
        <f ca="1">DATEDIF(Employee_TableData[[#This Row],[Date of Join]],Employee_TableData[[#This Row],[Today''s Date]],"y") &amp; "years"</f>
        <v>4years</v>
      </c>
      <c r="P68" s="3" t="str">
        <f>(Employee_TableData[[#This Row],[Employee ID]] &amp; " | " &amp; (Employee_TableData[[#This Row],[Name]]))</f>
        <v>ADPT0067 | Constantino Espley</v>
      </c>
      <c r="Q68" s="3" t="str" cm="1">
        <f t="array" ref="Q6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68" s="3">
        <f>DAY(Employee_TableData[[#This Row],[Date of Join]])</f>
        <v>15</v>
      </c>
      <c r="S68" s="3" t="str">
        <f>TEXT(Employee_TableData[[#This Row],[Date of Join]],"mmm")</f>
        <v>Feb</v>
      </c>
      <c r="T68" s="3">
        <f>YEAR(Employee_TableData[[#This Row],[Date of Join]])</f>
        <v>2022</v>
      </c>
    </row>
    <row r="69" spans="1:20" ht="12.75" x14ac:dyDescent="0.2">
      <c r="A69" s="1" t="s">
        <v>256</v>
      </c>
      <c r="B69" s="1" t="s">
        <v>85</v>
      </c>
      <c r="C69" s="1" t="s">
        <v>21</v>
      </c>
      <c r="D69" s="1" t="s">
        <v>22</v>
      </c>
      <c r="E69" s="2">
        <v>44376</v>
      </c>
      <c r="F69" s="1" t="s">
        <v>16</v>
      </c>
      <c r="G69" s="1" t="s">
        <v>38</v>
      </c>
      <c r="H69" s="5">
        <v>47800</v>
      </c>
      <c r="I69" s="1" t="s">
        <v>18</v>
      </c>
      <c r="J69" s="1">
        <v>28</v>
      </c>
      <c r="K69" s="1" t="s">
        <v>19</v>
      </c>
      <c r="L69" s="1">
        <v>19</v>
      </c>
      <c r="M69" s="1" t="s">
        <v>18</v>
      </c>
      <c r="N69" s="2">
        <f t="shared" ca="1" si="2"/>
        <v>46221</v>
      </c>
      <c r="O69" s="1" t="str">
        <f ca="1">DATEDIF(Employee_TableData[[#This Row],[Date of Join]],Employee_TableData[[#This Row],[Today''s Date]],"y") &amp; "years"</f>
        <v>5years</v>
      </c>
      <c r="P69" s="3" t="str">
        <f>(Employee_TableData[[#This Row],[Employee ID]] &amp; " | " &amp; (Employee_TableData[[#This Row],[Name]]))</f>
        <v>ADPT0068 | Mollie Hanway</v>
      </c>
      <c r="Q69" s="3" t="str" cm="1">
        <f t="array" ref="Q6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69" s="3">
        <f>DAY(Employee_TableData[[#This Row],[Date of Join]])</f>
        <v>29</v>
      </c>
      <c r="S69" s="3" t="str">
        <f>TEXT(Employee_TableData[[#This Row],[Date of Join]],"mmm")</f>
        <v>Jun</v>
      </c>
      <c r="T69" s="3">
        <f>YEAR(Employee_TableData[[#This Row],[Date of Join]])</f>
        <v>2021</v>
      </c>
    </row>
    <row r="70" spans="1:20" ht="12.75" x14ac:dyDescent="0.2">
      <c r="A70" s="1" t="s">
        <v>257</v>
      </c>
      <c r="B70" s="1" t="s">
        <v>107</v>
      </c>
      <c r="C70" s="1" t="s">
        <v>14</v>
      </c>
      <c r="D70" s="1" t="s">
        <v>15</v>
      </c>
      <c r="E70" s="2">
        <v>43912</v>
      </c>
      <c r="F70" s="1" t="s">
        <v>16</v>
      </c>
      <c r="G70" s="1" t="s">
        <v>42</v>
      </c>
      <c r="H70" s="5">
        <v>41500</v>
      </c>
      <c r="I70" s="1" t="s">
        <v>18</v>
      </c>
      <c r="J70" s="1">
        <v>33</v>
      </c>
      <c r="K70" s="1" t="s">
        <v>19</v>
      </c>
      <c r="L70" s="1">
        <v>13</v>
      </c>
      <c r="M70" s="1" t="s">
        <v>18</v>
      </c>
      <c r="N70" s="2">
        <f t="shared" ca="1" si="2"/>
        <v>46221</v>
      </c>
      <c r="O70" s="1" t="str">
        <f ca="1">DATEDIF(Employee_TableData[[#This Row],[Date of Join]],Employee_TableData[[#This Row],[Today''s Date]],"y") &amp; "years"</f>
        <v>6years</v>
      </c>
      <c r="P70" s="3" t="str">
        <f>(Employee_TableData[[#This Row],[Employee ID]] &amp; " | " &amp; (Employee_TableData[[#This Row],[Name]]))</f>
        <v>ADPT0069 | Gretchen Callow</v>
      </c>
      <c r="Q70" s="3" t="str" cm="1">
        <f t="array" ref="Q7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70" s="3">
        <f>DAY(Employee_TableData[[#This Row],[Date of Join]])</f>
        <v>22</v>
      </c>
      <c r="S70" s="3" t="str">
        <f>TEXT(Employee_TableData[[#This Row],[Date of Join]],"mmm")</f>
        <v>Mar</v>
      </c>
      <c r="T70" s="3">
        <f>YEAR(Employee_TableData[[#This Row],[Date of Join]])</f>
        <v>2020</v>
      </c>
    </row>
    <row r="71" spans="1:20" ht="12.75" x14ac:dyDescent="0.2">
      <c r="A71" s="1" t="s">
        <v>258</v>
      </c>
      <c r="B71" s="1" t="s">
        <v>108</v>
      </c>
      <c r="C71" s="1" t="s">
        <v>21</v>
      </c>
      <c r="D71" s="1" t="s">
        <v>26</v>
      </c>
      <c r="E71" s="2">
        <v>44938</v>
      </c>
      <c r="F71" s="1" t="s">
        <v>37</v>
      </c>
      <c r="G71" s="1" t="s">
        <v>27</v>
      </c>
      <c r="H71" s="5">
        <v>33600</v>
      </c>
      <c r="I71" s="1" t="s">
        <v>24</v>
      </c>
      <c r="J71" s="1">
        <v>46</v>
      </c>
      <c r="K71" s="1" t="s">
        <v>39</v>
      </c>
      <c r="L71" s="1">
        <v>16</v>
      </c>
      <c r="M71" s="1" t="s">
        <v>18</v>
      </c>
      <c r="N71" s="2">
        <f t="shared" ca="1" si="2"/>
        <v>46221</v>
      </c>
      <c r="O71" s="1" t="str">
        <f ca="1">DATEDIF(Employee_TableData[[#This Row],[Date of Join]],Employee_TableData[[#This Row],[Today''s Date]],"y") &amp; "years"</f>
        <v>3years</v>
      </c>
      <c r="P71" s="3" t="str">
        <f>(Employee_TableData[[#This Row],[Employee ID]] &amp; " | " &amp; (Employee_TableData[[#This Row],[Name]]))</f>
        <v>ADPT0070 | Bev Lashley</v>
      </c>
      <c r="Q71" s="3" t="str" cm="1">
        <f t="array" ref="Q7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71" s="3">
        <f>DAY(Employee_TableData[[#This Row],[Date of Join]])</f>
        <v>12</v>
      </c>
      <c r="S71" s="3" t="str">
        <f>TEXT(Employee_TableData[[#This Row],[Date of Join]],"mmm")</f>
        <v>Jan</v>
      </c>
      <c r="T71" s="3">
        <f>YEAR(Employee_TableData[[#This Row],[Date of Join]])</f>
        <v>2023</v>
      </c>
    </row>
    <row r="72" spans="1:20" ht="12.75" x14ac:dyDescent="0.2">
      <c r="A72" s="1" t="s">
        <v>259</v>
      </c>
      <c r="B72" s="1" t="s">
        <v>109</v>
      </c>
      <c r="C72" s="1" t="s">
        <v>14</v>
      </c>
      <c r="D72" s="1" t="s">
        <v>22</v>
      </c>
      <c r="E72" s="2">
        <v>43621</v>
      </c>
      <c r="F72" s="1" t="s">
        <v>29</v>
      </c>
      <c r="G72" s="1" t="s">
        <v>23</v>
      </c>
      <c r="H72" s="5">
        <v>37000</v>
      </c>
      <c r="I72" s="1" t="s">
        <v>24</v>
      </c>
      <c r="J72" s="1">
        <v>33</v>
      </c>
      <c r="K72" s="1" t="s">
        <v>19</v>
      </c>
      <c r="L72" s="1">
        <v>17</v>
      </c>
      <c r="M72" s="1" t="s">
        <v>18</v>
      </c>
      <c r="N72" s="2">
        <f t="shared" ca="1" si="2"/>
        <v>46221</v>
      </c>
      <c r="O72" s="1" t="str">
        <f ca="1">DATEDIF(Employee_TableData[[#This Row],[Date of Join]],Employee_TableData[[#This Row],[Today''s Date]],"y") &amp; "years"</f>
        <v>7years</v>
      </c>
      <c r="P72" s="3" t="str">
        <f>(Employee_TableData[[#This Row],[Employee ID]] &amp; " | " &amp; (Employee_TableData[[#This Row],[Name]]))</f>
        <v>ADPT0071 | Sibyl Dunkirk</v>
      </c>
      <c r="Q72" s="3" t="str" cm="1">
        <f t="array" ref="Q7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72" s="3">
        <f>DAY(Employee_TableData[[#This Row],[Date of Join]])</f>
        <v>5</v>
      </c>
      <c r="S72" s="3" t="str">
        <f>TEXT(Employee_TableData[[#This Row],[Date of Join]],"mmm")</f>
        <v>Jun</v>
      </c>
      <c r="T72" s="3">
        <f>YEAR(Employee_TableData[[#This Row],[Date of Join]])</f>
        <v>2019</v>
      </c>
    </row>
    <row r="73" spans="1:20" ht="12.75" x14ac:dyDescent="0.2">
      <c r="A73" s="1" t="s">
        <v>260</v>
      </c>
      <c r="B73" s="1" t="s">
        <v>110</v>
      </c>
      <c r="C73" s="1" t="s">
        <v>21</v>
      </c>
      <c r="D73" s="1" t="s">
        <v>15</v>
      </c>
      <c r="E73" s="2">
        <v>43371</v>
      </c>
      <c r="F73" s="1" t="s">
        <v>29</v>
      </c>
      <c r="G73" s="1" t="s">
        <v>44</v>
      </c>
      <c r="H73" s="5">
        <v>56700</v>
      </c>
      <c r="I73" s="1" t="s">
        <v>31</v>
      </c>
      <c r="J73" s="1">
        <v>35</v>
      </c>
      <c r="K73" s="1" t="s">
        <v>19</v>
      </c>
      <c r="L73" s="1">
        <v>14</v>
      </c>
      <c r="M73" s="1" t="s">
        <v>18</v>
      </c>
      <c r="N73" s="2">
        <f t="shared" ca="1" si="2"/>
        <v>46221</v>
      </c>
      <c r="O73" s="1" t="str">
        <f ca="1">DATEDIF(Employee_TableData[[#This Row],[Date of Join]],Employee_TableData[[#This Row],[Today''s Date]],"y") &amp; "years"</f>
        <v>7years</v>
      </c>
      <c r="P73" s="3" t="str">
        <f>(Employee_TableData[[#This Row],[Employee ID]] &amp; " | " &amp; (Employee_TableData[[#This Row],[Name]]))</f>
        <v>ADPT0072 | Trio Lipa</v>
      </c>
      <c r="Q73" s="3" t="str" cm="1">
        <f t="array" ref="Q7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73" s="3">
        <f>DAY(Employee_TableData[[#This Row],[Date of Join]])</f>
        <v>28</v>
      </c>
      <c r="S73" s="3" t="str">
        <f>TEXT(Employee_TableData[[#This Row],[Date of Join]],"mmm")</f>
        <v>Sept</v>
      </c>
      <c r="T73" s="3">
        <f>YEAR(Employee_TableData[[#This Row],[Date of Join]])</f>
        <v>2018</v>
      </c>
    </row>
    <row r="74" spans="1:20" ht="12.75" x14ac:dyDescent="0.2">
      <c r="A74" s="1" t="s">
        <v>261</v>
      </c>
      <c r="B74" s="1" t="s">
        <v>111</v>
      </c>
      <c r="C74" s="1" t="s">
        <v>14</v>
      </c>
      <c r="D74" s="1" t="s">
        <v>33</v>
      </c>
      <c r="E74" s="2">
        <v>42836</v>
      </c>
      <c r="F74" s="1" t="s">
        <v>58</v>
      </c>
      <c r="G74" s="1" t="s">
        <v>46</v>
      </c>
      <c r="H74" s="5">
        <v>84700</v>
      </c>
      <c r="I74" s="1" t="s">
        <v>35</v>
      </c>
      <c r="J74" s="1">
        <v>35</v>
      </c>
      <c r="K74" s="1" t="s">
        <v>19</v>
      </c>
      <c r="L74" s="1">
        <v>20</v>
      </c>
      <c r="M74" s="1" t="s">
        <v>18</v>
      </c>
      <c r="N74" s="2">
        <f t="shared" ca="1" si="2"/>
        <v>46221</v>
      </c>
      <c r="O74" s="1" t="str">
        <f ca="1">DATEDIF(Employee_TableData[[#This Row],[Date of Join]],Employee_TableData[[#This Row],[Today''s Date]],"y") &amp; "years"</f>
        <v>9years</v>
      </c>
      <c r="P74" s="3" t="str">
        <f>(Employee_TableData[[#This Row],[Employee ID]] &amp; " | " &amp; (Employee_TableData[[#This Row],[Name]]))</f>
        <v>ADPT0073 | Shayne Stegel</v>
      </c>
      <c r="Q74" s="3" t="str" cm="1">
        <f t="array" ref="Q7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74" s="3">
        <f>DAY(Employee_TableData[[#This Row],[Date of Join]])</f>
        <v>11</v>
      </c>
      <c r="S74" s="3" t="str">
        <f>TEXT(Employee_TableData[[#This Row],[Date of Join]],"mmm")</f>
        <v>Apr</v>
      </c>
      <c r="T74" s="3">
        <f>YEAR(Employee_TableData[[#This Row],[Date of Join]])</f>
        <v>2017</v>
      </c>
    </row>
    <row r="75" spans="1:20" ht="12.75" x14ac:dyDescent="0.2">
      <c r="A75" s="1" t="s">
        <v>262</v>
      </c>
      <c r="B75" s="1" t="s">
        <v>112</v>
      </c>
      <c r="C75" s="1" t="s">
        <v>21</v>
      </c>
      <c r="D75" s="1" t="s">
        <v>26</v>
      </c>
      <c r="E75" s="2">
        <v>44983</v>
      </c>
      <c r="F75" s="1" t="s">
        <v>37</v>
      </c>
      <c r="G75" s="1" t="s">
        <v>17</v>
      </c>
      <c r="H75" s="5">
        <v>51300</v>
      </c>
      <c r="I75" s="1" t="s">
        <v>18</v>
      </c>
      <c r="J75" s="1">
        <v>36</v>
      </c>
      <c r="K75" s="1" t="s">
        <v>39</v>
      </c>
      <c r="L75" s="1">
        <v>14</v>
      </c>
      <c r="M75" s="1" t="s">
        <v>18</v>
      </c>
      <c r="N75" s="2">
        <f t="shared" ca="1" si="2"/>
        <v>46221</v>
      </c>
      <c r="O75" s="1" t="str">
        <f ca="1">DATEDIF(Employee_TableData[[#This Row],[Date of Join]],Employee_TableData[[#This Row],[Today''s Date]],"y") &amp; "years"</f>
        <v>3years</v>
      </c>
      <c r="P75" s="3" t="str">
        <f>(Employee_TableData[[#This Row],[Employee ID]] &amp; " | " &amp; (Employee_TableData[[#This Row],[Name]]))</f>
        <v>ADPT0074 | Hyacinthie Braybrooke</v>
      </c>
      <c r="Q75" s="3" t="str" cm="1">
        <f t="array" ref="Q7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75" s="3">
        <f>DAY(Employee_TableData[[#This Row],[Date of Join]])</f>
        <v>26</v>
      </c>
      <c r="S75" s="3" t="str">
        <f>TEXT(Employee_TableData[[#This Row],[Date of Join]],"mmm")</f>
        <v>Feb</v>
      </c>
      <c r="T75" s="3">
        <f>YEAR(Employee_TableData[[#This Row],[Date of Join]])</f>
        <v>2023</v>
      </c>
    </row>
    <row r="76" spans="1:20" ht="12.75" x14ac:dyDescent="0.2">
      <c r="A76" s="1" t="s">
        <v>263</v>
      </c>
      <c r="B76" s="1" t="s">
        <v>113</v>
      </c>
      <c r="C76" s="1" t="s">
        <v>21</v>
      </c>
      <c r="D76" s="1" t="s">
        <v>22</v>
      </c>
      <c r="E76" s="2">
        <v>44027</v>
      </c>
      <c r="F76" s="1" t="s">
        <v>16</v>
      </c>
      <c r="G76" s="1" t="s">
        <v>51</v>
      </c>
      <c r="H76" s="5">
        <v>74800</v>
      </c>
      <c r="I76" s="1" t="s">
        <v>35</v>
      </c>
      <c r="J76" s="1">
        <v>31</v>
      </c>
      <c r="K76" s="1" t="s">
        <v>19</v>
      </c>
      <c r="L76" s="1">
        <v>20</v>
      </c>
      <c r="M76" s="1" t="s">
        <v>18</v>
      </c>
      <c r="N76" s="2">
        <f t="shared" ca="1" si="2"/>
        <v>46221</v>
      </c>
      <c r="O76" s="1" t="str">
        <f ca="1">DATEDIF(Employee_TableData[[#This Row],[Date of Join]],Employee_TableData[[#This Row],[Today''s Date]],"y") &amp; "years"</f>
        <v>6years</v>
      </c>
      <c r="P76" s="3" t="str">
        <f>(Employee_TableData[[#This Row],[Employee ID]] &amp; " | " &amp; (Employee_TableData[[#This Row],[Name]]))</f>
        <v>ADPT0075 | Agnes Collicott</v>
      </c>
      <c r="Q76" s="3" t="str" cm="1">
        <f t="array" ref="Q7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76" s="3">
        <f>DAY(Employee_TableData[[#This Row],[Date of Join]])</f>
        <v>15</v>
      </c>
      <c r="S76" s="3" t="str">
        <f>TEXT(Employee_TableData[[#This Row],[Date of Join]],"mmm")</f>
        <v>Jul</v>
      </c>
      <c r="T76" s="3">
        <f>YEAR(Employee_TableData[[#This Row],[Date of Join]])</f>
        <v>2020</v>
      </c>
    </row>
    <row r="77" spans="1:20" ht="12.75" x14ac:dyDescent="0.2">
      <c r="A77" s="1" t="s">
        <v>264</v>
      </c>
      <c r="B77" s="1" t="s">
        <v>114</v>
      </c>
      <c r="C77" s="1" t="s">
        <v>14</v>
      </c>
      <c r="D77" s="1" t="s">
        <v>15</v>
      </c>
      <c r="E77" s="2">
        <v>43766</v>
      </c>
      <c r="F77" s="1" t="s">
        <v>29</v>
      </c>
      <c r="G77" s="1" t="s">
        <v>34</v>
      </c>
      <c r="H77" s="5">
        <v>78400</v>
      </c>
      <c r="I77" s="1" t="s">
        <v>35</v>
      </c>
      <c r="J77" s="1">
        <v>31</v>
      </c>
      <c r="K77" s="1" t="s">
        <v>19</v>
      </c>
      <c r="L77" s="1">
        <v>22</v>
      </c>
      <c r="M77" s="1" t="s">
        <v>31</v>
      </c>
      <c r="N77" s="2">
        <f t="shared" ca="1" si="2"/>
        <v>46221</v>
      </c>
      <c r="O77" s="1" t="str">
        <f ca="1">DATEDIF(Employee_TableData[[#This Row],[Date of Join]],Employee_TableData[[#This Row],[Today''s Date]],"y") &amp; "years"</f>
        <v>6years</v>
      </c>
      <c r="P77" s="3" t="str">
        <f>(Employee_TableData[[#This Row],[Employee ID]] &amp; " | " &amp; (Employee_TableData[[#This Row],[Name]]))</f>
        <v>ADPT0076 | Teressa Udden</v>
      </c>
      <c r="Q77" s="3" t="str" cm="1">
        <f t="array" ref="Q7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77" s="3">
        <f>DAY(Employee_TableData[[#This Row],[Date of Join]])</f>
        <v>28</v>
      </c>
      <c r="S77" s="3" t="str">
        <f>TEXT(Employee_TableData[[#This Row],[Date of Join]],"mmm")</f>
        <v>Oct</v>
      </c>
      <c r="T77" s="3">
        <f>YEAR(Employee_TableData[[#This Row],[Date of Join]])</f>
        <v>2019</v>
      </c>
    </row>
    <row r="78" spans="1:20" ht="12.75" x14ac:dyDescent="0.2">
      <c r="A78" s="1" t="s">
        <v>265</v>
      </c>
      <c r="B78" s="1" t="s">
        <v>115</v>
      </c>
      <c r="C78" s="1" t="s">
        <v>21</v>
      </c>
      <c r="D78" s="1" t="s">
        <v>26</v>
      </c>
      <c r="E78" s="2">
        <v>44664</v>
      </c>
      <c r="F78" s="1" t="s">
        <v>16</v>
      </c>
      <c r="G78" s="1" t="s">
        <v>38</v>
      </c>
      <c r="H78" s="5">
        <v>48300</v>
      </c>
      <c r="I78" s="1" t="s">
        <v>18</v>
      </c>
      <c r="J78" s="1">
        <v>28</v>
      </c>
      <c r="K78" s="1" t="s">
        <v>19</v>
      </c>
      <c r="L78" s="1">
        <v>20</v>
      </c>
      <c r="M78" s="1" t="s">
        <v>18</v>
      </c>
      <c r="N78" s="2">
        <f t="shared" ca="1" si="2"/>
        <v>46221</v>
      </c>
      <c r="O78" s="1" t="str">
        <f ca="1">DATEDIF(Employee_TableData[[#This Row],[Date of Join]],Employee_TableData[[#This Row],[Today''s Date]],"y") &amp; "years"</f>
        <v>4years</v>
      </c>
      <c r="P78" s="3" t="str">
        <f>(Employee_TableData[[#This Row],[Employee ID]] &amp; " | " &amp; (Employee_TableData[[#This Row],[Name]]))</f>
        <v>ADPT0077 | Bennie Pepis</v>
      </c>
      <c r="Q78" s="3" t="str" cm="1">
        <f t="array" ref="Q7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78" s="3">
        <f>DAY(Employee_TableData[[#This Row],[Date of Join]])</f>
        <v>13</v>
      </c>
      <c r="S78" s="3" t="str">
        <f>TEXT(Employee_TableData[[#This Row],[Date of Join]],"mmm")</f>
        <v>Apr</v>
      </c>
      <c r="T78" s="3">
        <f>YEAR(Employee_TableData[[#This Row],[Date of Join]])</f>
        <v>2022</v>
      </c>
    </row>
    <row r="79" spans="1:20" ht="12.75" x14ac:dyDescent="0.2">
      <c r="A79" s="1" t="s">
        <v>266</v>
      </c>
      <c r="B79" s="1" t="s">
        <v>116</v>
      </c>
      <c r="C79" s="1" t="s">
        <v>21</v>
      </c>
      <c r="D79" s="1" t="s">
        <v>22</v>
      </c>
      <c r="E79" s="2">
        <v>44344</v>
      </c>
      <c r="F79" s="1" t="s">
        <v>16</v>
      </c>
      <c r="G79" s="1" t="s">
        <v>42</v>
      </c>
      <c r="H79" s="5">
        <v>42100</v>
      </c>
      <c r="I79" s="1" t="s">
        <v>18</v>
      </c>
      <c r="J79" s="1">
        <v>36</v>
      </c>
      <c r="K79" s="1" t="s">
        <v>39</v>
      </c>
      <c r="L79" s="1">
        <v>16</v>
      </c>
      <c r="M79" s="1" t="s">
        <v>18</v>
      </c>
      <c r="N79" s="2">
        <f t="shared" ca="1" si="2"/>
        <v>46221</v>
      </c>
      <c r="O79" s="1" t="str">
        <f ca="1">DATEDIF(Employee_TableData[[#This Row],[Date of Join]],Employee_TableData[[#This Row],[Today''s Date]],"y") &amp; "years"</f>
        <v>5years</v>
      </c>
      <c r="P79" s="3" t="str">
        <f>(Employee_TableData[[#This Row],[Employee ID]] &amp; " | " &amp; (Employee_TableData[[#This Row],[Name]]))</f>
        <v>ADPT0078 | Elia Cockton</v>
      </c>
      <c r="Q79" s="3" t="str" cm="1">
        <f t="array" ref="Q7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79" s="3">
        <f>DAY(Employee_TableData[[#This Row],[Date of Join]])</f>
        <v>28</v>
      </c>
      <c r="S79" s="3" t="str">
        <f>TEXT(Employee_TableData[[#This Row],[Date of Join]],"mmm")</f>
        <v>May</v>
      </c>
      <c r="T79" s="3">
        <f>YEAR(Employee_TableData[[#This Row],[Date of Join]])</f>
        <v>2021</v>
      </c>
    </row>
    <row r="80" spans="1:20" ht="12.75" x14ac:dyDescent="0.2">
      <c r="A80" s="1" t="s">
        <v>267</v>
      </c>
      <c r="B80" s="1" t="s">
        <v>117</v>
      </c>
      <c r="C80" s="1" t="s">
        <v>21</v>
      </c>
      <c r="D80" s="1" t="s">
        <v>15</v>
      </c>
      <c r="E80" s="2">
        <v>44003</v>
      </c>
      <c r="F80" s="1" t="s">
        <v>16</v>
      </c>
      <c r="G80" s="1" t="s">
        <v>27</v>
      </c>
      <c r="H80" s="5">
        <v>36000</v>
      </c>
      <c r="I80" s="1" t="s">
        <v>24</v>
      </c>
      <c r="J80" s="1">
        <v>32</v>
      </c>
      <c r="K80" s="1" t="s">
        <v>19</v>
      </c>
      <c r="L80" s="1">
        <v>17</v>
      </c>
      <c r="M80" s="1" t="s">
        <v>18</v>
      </c>
      <c r="N80" s="2">
        <f t="shared" ca="1" si="2"/>
        <v>46221</v>
      </c>
      <c r="O80" s="1" t="str">
        <f ca="1">DATEDIF(Employee_TableData[[#This Row],[Date of Join]],Employee_TableData[[#This Row],[Today''s Date]],"y") &amp; "years"</f>
        <v>6years</v>
      </c>
      <c r="P80" s="3" t="str">
        <f>(Employee_TableData[[#This Row],[Employee ID]] &amp; " | " &amp; (Employee_TableData[[#This Row],[Name]]))</f>
        <v>ADPT0079 | A R Rahadude</v>
      </c>
      <c r="Q80" s="3" t="str" cm="1">
        <f t="array" ref="Q8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80" s="3">
        <f>DAY(Employee_TableData[[#This Row],[Date of Join]])</f>
        <v>21</v>
      </c>
      <c r="S80" s="3" t="str">
        <f>TEXT(Employee_TableData[[#This Row],[Date of Join]],"mmm")</f>
        <v>Jun</v>
      </c>
      <c r="T80" s="3">
        <f>YEAR(Employee_TableData[[#This Row],[Date of Join]])</f>
        <v>2020</v>
      </c>
    </row>
    <row r="81" spans="1:20" ht="12.75" x14ac:dyDescent="0.2">
      <c r="A81" s="1" t="s">
        <v>268</v>
      </c>
      <c r="B81" s="1" t="s">
        <v>118</v>
      </c>
      <c r="C81" s="1" t="s">
        <v>14</v>
      </c>
      <c r="D81" s="1" t="s">
        <v>33</v>
      </c>
      <c r="E81" s="2">
        <v>43347</v>
      </c>
      <c r="F81" s="1" t="s">
        <v>29</v>
      </c>
      <c r="G81" s="1" t="s">
        <v>23</v>
      </c>
      <c r="H81" s="5">
        <v>37700</v>
      </c>
      <c r="I81" s="1" t="s">
        <v>24</v>
      </c>
      <c r="J81" s="1">
        <v>35</v>
      </c>
      <c r="K81" s="1" t="s">
        <v>19</v>
      </c>
      <c r="L81" s="1">
        <v>20</v>
      </c>
      <c r="M81" s="1" t="s">
        <v>18</v>
      </c>
      <c r="N81" s="2">
        <f t="shared" ca="1" si="2"/>
        <v>46221</v>
      </c>
      <c r="O81" s="1" t="str">
        <f ca="1">DATEDIF(Employee_TableData[[#This Row],[Date of Join]],Employee_TableData[[#This Row],[Today''s Date]],"y") &amp; "years"</f>
        <v>7years</v>
      </c>
      <c r="P81" s="3" t="str">
        <f>(Employee_TableData[[#This Row],[Employee ID]] &amp; " | " &amp; (Employee_TableData[[#This Row],[Name]]))</f>
        <v>ADPT0080 | Murry Dryburgh</v>
      </c>
      <c r="Q81" s="3" t="str" cm="1">
        <f t="array" ref="Q8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81" s="3">
        <f>DAY(Employee_TableData[[#This Row],[Date of Join]])</f>
        <v>4</v>
      </c>
      <c r="S81" s="3" t="str">
        <f>TEXT(Employee_TableData[[#This Row],[Date of Join]],"mmm")</f>
        <v>Sept</v>
      </c>
      <c r="T81" s="3">
        <f>YEAR(Employee_TableData[[#This Row],[Date of Join]])</f>
        <v>2018</v>
      </c>
    </row>
    <row r="82" spans="1:20" ht="12.75" x14ac:dyDescent="0.2">
      <c r="A82" s="1" t="s">
        <v>269</v>
      </c>
      <c r="B82" s="1" t="s">
        <v>119</v>
      </c>
      <c r="C82" s="1" t="s">
        <v>21</v>
      </c>
      <c r="D82" s="1" t="s">
        <v>26</v>
      </c>
      <c r="E82" s="2">
        <v>43697</v>
      </c>
      <c r="F82" s="1" t="s">
        <v>29</v>
      </c>
      <c r="G82" s="1" t="s">
        <v>44</v>
      </c>
      <c r="H82" s="5">
        <v>56900</v>
      </c>
      <c r="I82" s="1" t="s">
        <v>31</v>
      </c>
      <c r="J82" s="1">
        <v>30</v>
      </c>
      <c r="K82" s="1" t="s">
        <v>19</v>
      </c>
      <c r="L82" s="1">
        <v>12</v>
      </c>
      <c r="M82" s="1" t="s">
        <v>18</v>
      </c>
      <c r="N82" s="2">
        <f t="shared" ca="1" si="2"/>
        <v>46221</v>
      </c>
      <c r="O82" s="1" t="str">
        <f ca="1">DATEDIF(Employee_TableData[[#This Row],[Date of Join]],Employee_TableData[[#This Row],[Today''s Date]],"y") &amp; "years"</f>
        <v>6years</v>
      </c>
      <c r="P82" s="3" t="str">
        <f>(Employee_TableData[[#This Row],[Employee ID]] &amp; " | " &amp; (Employee_TableData[[#This Row],[Name]]))</f>
        <v>ADPT0081 | Mahalia Larcher</v>
      </c>
      <c r="Q82" s="3" t="str" cm="1">
        <f t="array" ref="Q8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82" s="3">
        <f>DAY(Employee_TableData[[#This Row],[Date of Join]])</f>
        <v>20</v>
      </c>
      <c r="S82" s="3" t="str">
        <f>TEXT(Employee_TableData[[#This Row],[Date of Join]],"mmm")</f>
        <v>Aug</v>
      </c>
      <c r="T82" s="3">
        <f>YEAR(Employee_TableData[[#This Row],[Date of Join]])</f>
        <v>2019</v>
      </c>
    </row>
    <row r="83" spans="1:20" ht="12.75" x14ac:dyDescent="0.2">
      <c r="A83" s="1" t="s">
        <v>270</v>
      </c>
      <c r="B83" s="1" t="s">
        <v>120</v>
      </c>
      <c r="C83" s="1" t="s">
        <v>21</v>
      </c>
      <c r="D83" s="1" t="s">
        <v>22</v>
      </c>
      <c r="E83" s="2">
        <v>44629</v>
      </c>
      <c r="F83" s="1" t="s">
        <v>16</v>
      </c>
      <c r="G83" s="1" t="s">
        <v>46</v>
      </c>
      <c r="H83" s="5">
        <v>81600</v>
      </c>
      <c r="I83" s="1" t="s">
        <v>35</v>
      </c>
      <c r="J83" s="1">
        <v>62</v>
      </c>
      <c r="K83" s="1" t="s">
        <v>52</v>
      </c>
      <c r="L83" s="1">
        <v>6</v>
      </c>
      <c r="M83" s="1" t="s">
        <v>24</v>
      </c>
      <c r="N83" s="2">
        <f t="shared" ca="1" si="2"/>
        <v>46221</v>
      </c>
      <c r="O83" s="1" t="str">
        <f ca="1">DATEDIF(Employee_TableData[[#This Row],[Date of Join]],Employee_TableData[[#This Row],[Today''s Date]],"y") &amp; "years"</f>
        <v>4years</v>
      </c>
      <c r="P83" s="3" t="str">
        <f>(Employee_TableData[[#This Row],[Employee ID]] &amp; " | " &amp; (Employee_TableData[[#This Row],[Name]]))</f>
        <v>ADPT0082 | Bili Sizey</v>
      </c>
      <c r="Q83" s="3" t="str" cm="1">
        <f t="array" ref="Q8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83" s="3">
        <f>DAY(Employee_TableData[[#This Row],[Date of Join]])</f>
        <v>9</v>
      </c>
      <c r="S83" s="3" t="str">
        <f>TEXT(Employee_TableData[[#This Row],[Date of Join]],"mmm")</f>
        <v>Mar</v>
      </c>
      <c r="T83" s="3">
        <f>YEAR(Employee_TableData[[#This Row],[Date of Join]])</f>
        <v>2022</v>
      </c>
    </row>
    <row r="84" spans="1:20" ht="12.75" x14ac:dyDescent="0.2">
      <c r="A84" s="1" t="s">
        <v>271</v>
      </c>
      <c r="B84" s="1" t="s">
        <v>121</v>
      </c>
      <c r="C84" s="1" t="s">
        <v>14</v>
      </c>
      <c r="D84" s="1" t="s">
        <v>15</v>
      </c>
      <c r="E84" s="2">
        <v>44552</v>
      </c>
      <c r="F84" s="1" t="s">
        <v>16</v>
      </c>
      <c r="G84" s="1" t="s">
        <v>17</v>
      </c>
      <c r="H84" s="5">
        <v>51200</v>
      </c>
      <c r="I84" s="1" t="s">
        <v>18</v>
      </c>
      <c r="J84" s="1">
        <v>43</v>
      </c>
      <c r="K84" s="1" t="s">
        <v>39</v>
      </c>
      <c r="L84" s="1">
        <v>22</v>
      </c>
      <c r="M84" s="1" t="s">
        <v>31</v>
      </c>
      <c r="N84" s="2">
        <f t="shared" ca="1" si="2"/>
        <v>46221</v>
      </c>
      <c r="O84" s="1" t="str">
        <f ca="1">DATEDIF(Employee_TableData[[#This Row],[Date of Join]],Employee_TableData[[#This Row],[Today''s Date]],"y") &amp; "years"</f>
        <v>4years</v>
      </c>
      <c r="P84" s="3" t="str">
        <f>(Employee_TableData[[#This Row],[Employee ID]] &amp; " | " &amp; (Employee_TableData[[#This Row],[Name]]))</f>
        <v>ADPT0083 | Lilyan Klimpt</v>
      </c>
      <c r="Q84" s="3" t="str" cm="1">
        <f t="array" ref="Q8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84" s="3">
        <f>DAY(Employee_TableData[[#This Row],[Date of Join]])</f>
        <v>22</v>
      </c>
      <c r="S84" s="3" t="str">
        <f>TEXT(Employee_TableData[[#This Row],[Date of Join]],"mmm")</f>
        <v>Dec</v>
      </c>
      <c r="T84" s="3">
        <f>YEAR(Employee_TableData[[#This Row],[Date of Join]])</f>
        <v>2021</v>
      </c>
    </row>
    <row r="85" spans="1:20" ht="12.75" x14ac:dyDescent="0.2">
      <c r="A85" s="1" t="s">
        <v>272</v>
      </c>
      <c r="B85" s="1" t="s">
        <v>122</v>
      </c>
      <c r="C85" s="1" t="s">
        <v>21</v>
      </c>
      <c r="D85" s="1" t="s">
        <v>33</v>
      </c>
      <c r="E85" s="2">
        <v>43661</v>
      </c>
      <c r="F85" s="1" t="s">
        <v>29</v>
      </c>
      <c r="G85" s="1" t="s">
        <v>30</v>
      </c>
      <c r="H85" s="5">
        <v>61400</v>
      </c>
      <c r="I85" s="1" t="s">
        <v>31</v>
      </c>
      <c r="J85" s="1">
        <v>31</v>
      </c>
      <c r="K85" s="1" t="s">
        <v>19</v>
      </c>
      <c r="L85" s="1">
        <v>15</v>
      </c>
      <c r="M85" s="1" t="s">
        <v>18</v>
      </c>
      <c r="N85" s="2">
        <f t="shared" ca="1" si="2"/>
        <v>46221</v>
      </c>
      <c r="O85" s="1" t="str">
        <f ca="1">DATEDIF(Employee_TableData[[#This Row],[Date of Join]],Employee_TableData[[#This Row],[Today''s Date]],"y") &amp; "years"</f>
        <v>7years</v>
      </c>
      <c r="P85" s="3" t="str">
        <f>(Employee_TableData[[#This Row],[Employee ID]] &amp; " | " &amp; (Employee_TableData[[#This Row],[Name]]))</f>
        <v>ADPT0084 | Almond Joy</v>
      </c>
      <c r="Q85" s="3" t="str" cm="1">
        <f t="array" ref="Q8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85" s="3">
        <f>DAY(Employee_TableData[[#This Row],[Date of Join]])</f>
        <v>15</v>
      </c>
      <c r="S85" s="3" t="str">
        <f>TEXT(Employee_TableData[[#This Row],[Date of Join]],"mmm")</f>
        <v>Jul</v>
      </c>
      <c r="T85" s="3">
        <f>YEAR(Employee_TableData[[#This Row],[Date of Join]])</f>
        <v>2019</v>
      </c>
    </row>
    <row r="86" spans="1:20" ht="12.75" x14ac:dyDescent="0.2">
      <c r="A86" s="1" t="s">
        <v>273</v>
      </c>
      <c r="B86" s="1" t="s">
        <v>123</v>
      </c>
      <c r="C86" s="1" t="s">
        <v>14</v>
      </c>
      <c r="D86" s="1" t="s">
        <v>26</v>
      </c>
      <c r="E86" s="2">
        <v>45043</v>
      </c>
      <c r="F86" s="1" t="s">
        <v>37</v>
      </c>
      <c r="G86" s="1" t="s">
        <v>34</v>
      </c>
      <c r="H86" s="5">
        <v>76700</v>
      </c>
      <c r="I86" s="1" t="s">
        <v>35</v>
      </c>
      <c r="J86" s="1">
        <v>31</v>
      </c>
      <c r="K86" s="1" t="s">
        <v>19</v>
      </c>
      <c r="L86" s="1">
        <v>16</v>
      </c>
      <c r="M86" s="1" t="s">
        <v>18</v>
      </c>
      <c r="N86" s="2">
        <f t="shared" ca="1" si="2"/>
        <v>46221</v>
      </c>
      <c r="O86" s="1" t="str">
        <f ca="1">DATEDIF(Employee_TableData[[#This Row],[Date of Join]],Employee_TableData[[#This Row],[Today''s Date]],"y") &amp; "years"</f>
        <v>3years</v>
      </c>
      <c r="P86" s="3" t="str">
        <f>(Employee_TableData[[#This Row],[Employee ID]] &amp; " | " &amp; (Employee_TableData[[#This Row],[Name]]))</f>
        <v>ADPT0085 | Leilah Yesinin</v>
      </c>
      <c r="Q86" s="3" t="str" cm="1">
        <f t="array" ref="Q8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86" s="3">
        <f>DAY(Employee_TableData[[#This Row],[Date of Join]])</f>
        <v>27</v>
      </c>
      <c r="S86" s="3" t="str">
        <f>TEXT(Employee_TableData[[#This Row],[Date of Join]],"mmm")</f>
        <v>Apr</v>
      </c>
      <c r="T86" s="3">
        <f>YEAR(Employee_TableData[[#This Row],[Date of Join]])</f>
        <v>2023</v>
      </c>
    </row>
    <row r="87" spans="1:20" ht="12.75" x14ac:dyDescent="0.2">
      <c r="A87" s="1" t="s">
        <v>274</v>
      </c>
      <c r="B87" s="1" t="s">
        <v>124</v>
      </c>
      <c r="C87" s="1" t="s">
        <v>21</v>
      </c>
      <c r="D87" s="1" t="s">
        <v>22</v>
      </c>
      <c r="E87" s="2">
        <v>43961</v>
      </c>
      <c r="F87" s="1" t="s">
        <v>16</v>
      </c>
      <c r="G87" s="1" t="s">
        <v>38</v>
      </c>
      <c r="H87" s="5">
        <v>49800</v>
      </c>
      <c r="I87" s="1" t="s">
        <v>18</v>
      </c>
      <c r="J87" s="1">
        <v>50</v>
      </c>
      <c r="K87" s="1" t="s">
        <v>39</v>
      </c>
      <c r="L87" s="1">
        <v>15</v>
      </c>
      <c r="M87" s="1" t="s">
        <v>18</v>
      </c>
      <c r="N87" s="2">
        <f t="shared" ca="1" si="2"/>
        <v>46221</v>
      </c>
      <c r="O87" s="1" t="str">
        <f ca="1">DATEDIF(Employee_TableData[[#This Row],[Date of Join]],Employee_TableData[[#This Row],[Today''s Date]],"y") &amp; "years"</f>
        <v>6years</v>
      </c>
      <c r="P87" s="3" t="str">
        <f>(Employee_TableData[[#This Row],[Employee ID]] &amp; " | " &amp; (Employee_TableData[[#This Row],[Name]]))</f>
        <v>ADPT0086 | Collin Jagson</v>
      </c>
      <c r="Q87" s="3" t="str" cm="1">
        <f t="array" ref="Q8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87" s="3">
        <f>DAY(Employee_TableData[[#This Row],[Date of Join]])</f>
        <v>10</v>
      </c>
      <c r="S87" s="3" t="str">
        <f>TEXT(Employee_TableData[[#This Row],[Date of Join]],"mmm")</f>
        <v>May</v>
      </c>
      <c r="T87" s="3">
        <f>YEAR(Employee_TableData[[#This Row],[Date of Join]])</f>
        <v>2020</v>
      </c>
    </row>
    <row r="88" spans="1:20" ht="12.75" x14ac:dyDescent="0.2">
      <c r="A88" s="1" t="s">
        <v>275</v>
      </c>
      <c r="B88" s="1" t="s">
        <v>125</v>
      </c>
      <c r="C88" s="1" t="s">
        <v>14</v>
      </c>
      <c r="D88" s="1" t="s">
        <v>15</v>
      </c>
      <c r="E88" s="2">
        <v>44230</v>
      </c>
      <c r="F88" s="1" t="s">
        <v>16</v>
      </c>
      <c r="G88" s="1" t="s">
        <v>42</v>
      </c>
      <c r="H88" s="5">
        <v>43000</v>
      </c>
      <c r="I88" s="1" t="s">
        <v>18</v>
      </c>
      <c r="J88" s="1">
        <v>61</v>
      </c>
      <c r="K88" s="1" t="s">
        <v>52</v>
      </c>
      <c r="L88" s="1">
        <v>24</v>
      </c>
      <c r="M88" s="1" t="s">
        <v>31</v>
      </c>
      <c r="N88" s="2">
        <f t="shared" ca="1" si="2"/>
        <v>46221</v>
      </c>
      <c r="O88" s="1" t="str">
        <f ca="1">DATEDIF(Employee_TableData[[#This Row],[Date of Join]],Employee_TableData[[#This Row],[Today''s Date]],"y") &amp; "years"</f>
        <v>5years</v>
      </c>
      <c r="P88" s="3" t="str">
        <f>(Employee_TableData[[#This Row],[Employee ID]] &amp; " | " &amp; (Employee_TableData[[#This Row],[Name]]))</f>
        <v>ADPT0087 | Kellsie Waby</v>
      </c>
      <c r="Q88" s="3" t="str" cm="1">
        <f t="array" ref="Q8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88" s="3">
        <f>DAY(Employee_TableData[[#This Row],[Date of Join]])</f>
        <v>3</v>
      </c>
      <c r="S88" s="3" t="str">
        <f>TEXT(Employee_TableData[[#This Row],[Date of Join]],"mmm")</f>
        <v>Feb</v>
      </c>
      <c r="T88" s="3">
        <f>YEAR(Employee_TableData[[#This Row],[Date of Join]])</f>
        <v>2021</v>
      </c>
    </row>
    <row r="89" spans="1:20" ht="12.75" x14ac:dyDescent="0.2">
      <c r="A89" s="1" t="s">
        <v>276</v>
      </c>
      <c r="B89" s="1" t="s">
        <v>126</v>
      </c>
      <c r="C89" s="1" t="s">
        <v>21</v>
      </c>
      <c r="D89" s="1" t="s">
        <v>26</v>
      </c>
      <c r="E89" s="2">
        <v>44700</v>
      </c>
      <c r="F89" s="1" t="s">
        <v>16</v>
      </c>
      <c r="G89" s="1" t="s">
        <v>27</v>
      </c>
      <c r="H89" s="5">
        <v>36200</v>
      </c>
      <c r="I89" s="1" t="s">
        <v>24</v>
      </c>
      <c r="J89" s="1">
        <v>40</v>
      </c>
      <c r="K89" s="1" t="s">
        <v>39</v>
      </c>
      <c r="L89" s="1">
        <v>14</v>
      </c>
      <c r="M89" s="1" t="s">
        <v>18</v>
      </c>
      <c r="N89" s="2">
        <f t="shared" ca="1" si="2"/>
        <v>46221</v>
      </c>
      <c r="O89" s="1" t="str">
        <f ca="1">DATEDIF(Employee_TableData[[#This Row],[Date of Join]],Employee_TableData[[#This Row],[Today''s Date]],"y") &amp; "years"</f>
        <v>4years</v>
      </c>
      <c r="P89" s="3" t="str">
        <f>(Employee_TableData[[#This Row],[Employee ID]] &amp; " | " &amp; (Employee_TableData[[#This Row],[Name]]))</f>
        <v>ADPT0088 | Simon Kembery</v>
      </c>
      <c r="Q89" s="3" t="str" cm="1">
        <f t="array" ref="Q8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89" s="3">
        <f>DAY(Employee_TableData[[#This Row],[Date of Join]])</f>
        <v>19</v>
      </c>
      <c r="S89" s="3" t="str">
        <f>TEXT(Employee_TableData[[#This Row],[Date of Join]],"mmm")</f>
        <v>May</v>
      </c>
      <c r="T89" s="3">
        <f>YEAR(Employee_TableData[[#This Row],[Date of Join]])</f>
        <v>2022</v>
      </c>
    </row>
    <row r="90" spans="1:20" ht="12.75" x14ac:dyDescent="0.2">
      <c r="A90" s="1" t="s">
        <v>277</v>
      </c>
      <c r="B90" s="1" t="s">
        <v>127</v>
      </c>
      <c r="C90" s="1" t="s">
        <v>14</v>
      </c>
      <c r="D90" s="1" t="s">
        <v>22</v>
      </c>
      <c r="E90" s="2">
        <v>43691</v>
      </c>
      <c r="F90" s="1" t="s">
        <v>29</v>
      </c>
      <c r="G90" s="1" t="s">
        <v>23</v>
      </c>
      <c r="H90" s="5">
        <v>36400</v>
      </c>
      <c r="I90" s="1" t="s">
        <v>24</v>
      </c>
      <c r="J90" s="1">
        <v>38</v>
      </c>
      <c r="K90" s="1" t="s">
        <v>39</v>
      </c>
      <c r="L90" s="1">
        <v>20</v>
      </c>
      <c r="M90" s="1" t="s">
        <v>18</v>
      </c>
      <c r="N90" s="2">
        <f t="shared" ca="1" si="2"/>
        <v>46221</v>
      </c>
      <c r="O90" s="1" t="str">
        <f ca="1">DATEDIF(Employee_TableData[[#This Row],[Date of Join]],Employee_TableData[[#This Row],[Today''s Date]],"y") &amp; "years"</f>
        <v>6years</v>
      </c>
      <c r="P90" s="3" t="str">
        <f>(Employee_TableData[[#This Row],[Employee ID]] &amp; " | " &amp; (Employee_TableData[[#This Row],[Name]]))</f>
        <v>ADPT0089 | Tawnya Tickel</v>
      </c>
      <c r="Q90" s="3" t="str" cm="1">
        <f t="array" ref="Q9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90" s="3">
        <f>DAY(Employee_TableData[[#This Row],[Date of Join]])</f>
        <v>14</v>
      </c>
      <c r="S90" s="3" t="str">
        <f>TEXT(Employee_TableData[[#This Row],[Date of Join]],"mmm")</f>
        <v>Aug</v>
      </c>
      <c r="T90" s="3">
        <f>YEAR(Employee_TableData[[#This Row],[Date of Join]])</f>
        <v>2019</v>
      </c>
    </row>
    <row r="91" spans="1:20" ht="12.75" x14ac:dyDescent="0.2">
      <c r="A91" s="1" t="s">
        <v>278</v>
      </c>
      <c r="B91" s="1" t="s">
        <v>128</v>
      </c>
      <c r="C91" s="1" t="s">
        <v>21</v>
      </c>
      <c r="D91" s="1" t="s">
        <v>15</v>
      </c>
      <c r="E91" s="2">
        <v>43431</v>
      </c>
      <c r="F91" s="1" t="s">
        <v>29</v>
      </c>
      <c r="G91" s="1" t="s">
        <v>17</v>
      </c>
      <c r="H91" s="5">
        <v>54900</v>
      </c>
      <c r="I91" s="1" t="s">
        <v>18</v>
      </c>
      <c r="J91" s="1">
        <v>32</v>
      </c>
      <c r="K91" s="1" t="s">
        <v>19</v>
      </c>
      <c r="L91" s="1">
        <v>17</v>
      </c>
      <c r="M91" s="1" t="s">
        <v>18</v>
      </c>
      <c r="N91" s="2">
        <f t="shared" ca="1" si="2"/>
        <v>46221</v>
      </c>
      <c r="O91" s="1" t="str">
        <f ca="1">DATEDIF(Employee_TableData[[#This Row],[Date of Join]],Employee_TableData[[#This Row],[Today''s Date]],"y") &amp; "years"</f>
        <v>7years</v>
      </c>
      <c r="P91" s="3" t="str">
        <f>(Employee_TableData[[#This Row],[Employee ID]] &amp; " | " &amp; (Employee_TableData[[#This Row],[Name]]))</f>
        <v>ADPT0090 | Bernie Gorges</v>
      </c>
      <c r="Q91" s="3" t="str" cm="1">
        <f t="array" ref="Q9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1" s="3">
        <f>DAY(Employee_TableData[[#This Row],[Date of Join]])</f>
        <v>27</v>
      </c>
      <c r="S91" s="3" t="str">
        <f>TEXT(Employee_TableData[[#This Row],[Date of Join]],"mmm")</f>
        <v>Nov</v>
      </c>
      <c r="T91" s="3">
        <f>YEAR(Employee_TableData[[#This Row],[Date of Join]])</f>
        <v>2018</v>
      </c>
    </row>
    <row r="92" spans="1:20" ht="12.75" x14ac:dyDescent="0.2">
      <c r="A92" s="1" t="s">
        <v>279</v>
      </c>
      <c r="B92" s="1" t="s">
        <v>129</v>
      </c>
      <c r="C92" s="1" t="s">
        <v>14</v>
      </c>
      <c r="D92" s="1" t="s">
        <v>33</v>
      </c>
      <c r="E92" s="2">
        <v>42896</v>
      </c>
      <c r="F92" s="1" t="s">
        <v>58</v>
      </c>
      <c r="G92" s="1" t="s">
        <v>51</v>
      </c>
      <c r="H92" s="5">
        <v>74200</v>
      </c>
      <c r="I92" s="1" t="s">
        <v>35</v>
      </c>
      <c r="J92" s="1">
        <v>31</v>
      </c>
      <c r="K92" s="1" t="s">
        <v>19</v>
      </c>
      <c r="L92" s="1">
        <v>17</v>
      </c>
      <c r="M92" s="1" t="s">
        <v>18</v>
      </c>
      <c r="N92" s="2">
        <f t="shared" ca="1" si="2"/>
        <v>46221</v>
      </c>
      <c r="O92" s="1" t="str">
        <f ca="1">DATEDIF(Employee_TableData[[#This Row],[Date of Join]],Employee_TableData[[#This Row],[Today''s Date]],"y") &amp; "years"</f>
        <v>9years</v>
      </c>
      <c r="P92" s="3" t="str">
        <f>(Employee_TableData[[#This Row],[Employee ID]] &amp; " | " &amp; (Employee_TableData[[#This Row],[Name]]))</f>
        <v>ADPT0091 | Florinda Crace</v>
      </c>
      <c r="Q92" s="3" t="str" cm="1">
        <f t="array" ref="Q9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2" s="3">
        <f>DAY(Employee_TableData[[#This Row],[Date of Join]])</f>
        <v>10</v>
      </c>
      <c r="S92" s="3" t="str">
        <f>TEXT(Employee_TableData[[#This Row],[Date of Join]],"mmm")</f>
        <v>Jun</v>
      </c>
      <c r="T92" s="3">
        <f>YEAR(Employee_TableData[[#This Row],[Date of Join]])</f>
        <v>2017</v>
      </c>
    </row>
    <row r="93" spans="1:20" ht="12.75" x14ac:dyDescent="0.2">
      <c r="A93" s="1" t="s">
        <v>280</v>
      </c>
      <c r="B93" s="1" t="s">
        <v>130</v>
      </c>
      <c r="C93" s="1" t="s">
        <v>14</v>
      </c>
      <c r="D93" s="1" t="s">
        <v>26</v>
      </c>
      <c r="E93" s="2">
        <v>45004</v>
      </c>
      <c r="F93" s="1" t="s">
        <v>37</v>
      </c>
      <c r="G93" s="1" t="s">
        <v>44</v>
      </c>
      <c r="H93" s="5">
        <v>58700</v>
      </c>
      <c r="I93" s="1" t="s">
        <v>31</v>
      </c>
      <c r="J93" s="1">
        <v>47</v>
      </c>
      <c r="K93" s="1" t="s">
        <v>39</v>
      </c>
      <c r="L93" s="1">
        <v>6</v>
      </c>
      <c r="M93" s="1" t="s">
        <v>24</v>
      </c>
      <c r="N93" s="2">
        <f t="shared" ca="1" si="2"/>
        <v>46221</v>
      </c>
      <c r="O93" s="1" t="str">
        <f ca="1">DATEDIF(Employee_TableData[[#This Row],[Date of Join]],Employee_TableData[[#This Row],[Today''s Date]],"y") &amp; "years"</f>
        <v>3years</v>
      </c>
      <c r="P93" s="3" t="str">
        <f>(Employee_TableData[[#This Row],[Employee ID]] &amp; " | " &amp; (Employee_TableData[[#This Row],[Name]]))</f>
        <v>ADPT0092 | Oran Buxcy</v>
      </c>
      <c r="Q93" s="3" t="str" cm="1">
        <f t="array" ref="Q9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3" s="3">
        <f>DAY(Employee_TableData[[#This Row],[Date of Join]])</f>
        <v>19</v>
      </c>
      <c r="S93" s="3" t="str">
        <f>TEXT(Employee_TableData[[#This Row],[Date of Join]],"mmm")</f>
        <v>Mar</v>
      </c>
      <c r="T93" s="3">
        <f>YEAR(Employee_TableData[[#This Row],[Date of Join]])</f>
        <v>2023</v>
      </c>
    </row>
    <row r="94" spans="1:20" ht="12.75" x14ac:dyDescent="0.2">
      <c r="A94" s="1" t="s">
        <v>281</v>
      </c>
      <c r="B94" s="1" t="s">
        <v>131</v>
      </c>
      <c r="C94" s="1" t="s">
        <v>21</v>
      </c>
      <c r="D94" s="1" t="s">
        <v>22</v>
      </c>
      <c r="E94" s="2">
        <v>44076</v>
      </c>
      <c r="F94" s="1" t="s">
        <v>16</v>
      </c>
      <c r="G94" s="1" t="s">
        <v>46</v>
      </c>
      <c r="H94" s="5">
        <v>81100</v>
      </c>
      <c r="I94" s="1" t="s">
        <v>35</v>
      </c>
      <c r="J94" s="1">
        <v>35</v>
      </c>
      <c r="K94" s="1" t="s">
        <v>19</v>
      </c>
      <c r="L94" s="1">
        <v>16</v>
      </c>
      <c r="M94" s="1" t="s">
        <v>18</v>
      </c>
      <c r="N94" s="2">
        <f t="shared" ca="1" si="2"/>
        <v>46221</v>
      </c>
      <c r="O94" s="1" t="str">
        <f ca="1">DATEDIF(Employee_TableData[[#This Row],[Date of Join]],Employee_TableData[[#This Row],[Today''s Date]],"y") &amp; "years"</f>
        <v>5years</v>
      </c>
      <c r="P94" s="3" t="str">
        <f>(Employee_TableData[[#This Row],[Employee ID]] &amp; " | " &amp; (Employee_TableData[[#This Row],[Name]]))</f>
        <v>ADPT0093 | Anvi Verma</v>
      </c>
      <c r="Q94" s="3" t="str" cm="1">
        <f t="array" ref="Q9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4" s="3">
        <f>DAY(Employee_TableData[[#This Row],[Date of Join]])</f>
        <v>2</v>
      </c>
      <c r="S94" s="3" t="str">
        <f>TEXT(Employee_TableData[[#This Row],[Date of Join]],"mmm")</f>
        <v>Sept</v>
      </c>
      <c r="T94" s="3">
        <f>YEAR(Employee_TableData[[#This Row],[Date of Join]])</f>
        <v>2020</v>
      </c>
    </row>
    <row r="95" spans="1:20" ht="12.75" x14ac:dyDescent="0.2">
      <c r="A95" s="1" t="s">
        <v>282</v>
      </c>
      <c r="B95" s="1" t="s">
        <v>132</v>
      </c>
      <c r="C95" s="1" t="s">
        <v>21</v>
      </c>
      <c r="D95" s="1" t="s">
        <v>15</v>
      </c>
      <c r="E95" s="2">
        <v>43663</v>
      </c>
      <c r="F95" s="1" t="s">
        <v>29</v>
      </c>
      <c r="G95" s="1" t="s">
        <v>23</v>
      </c>
      <c r="H95" s="5">
        <v>38300</v>
      </c>
      <c r="I95" s="1" t="s">
        <v>24</v>
      </c>
      <c r="J95" s="1">
        <v>34</v>
      </c>
      <c r="K95" s="1" t="s">
        <v>19</v>
      </c>
      <c r="L95" s="1">
        <v>14</v>
      </c>
      <c r="M95" s="1" t="s">
        <v>18</v>
      </c>
      <c r="N95" s="2">
        <f t="shared" ca="1" si="2"/>
        <v>46221</v>
      </c>
      <c r="O95" s="1" t="str">
        <f ca="1">DATEDIF(Employee_TableData[[#This Row],[Date of Join]],Employee_TableData[[#This Row],[Today''s Date]],"y") &amp; "years"</f>
        <v>7years</v>
      </c>
      <c r="P95" s="3" t="str">
        <f>(Employee_TableData[[#This Row],[Employee ID]] &amp; " | " &amp; (Employee_TableData[[#This Row],[Name]]))</f>
        <v>ADPT0094 | Zara Mishra</v>
      </c>
      <c r="Q95" s="3" t="str" cm="1">
        <f t="array" ref="Q9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95" s="3">
        <f>DAY(Employee_TableData[[#This Row],[Date of Join]])</f>
        <v>17</v>
      </c>
      <c r="S95" s="3" t="str">
        <f>TEXT(Employee_TableData[[#This Row],[Date of Join]],"mmm")</f>
        <v>Jul</v>
      </c>
      <c r="T95" s="3">
        <f>YEAR(Employee_TableData[[#This Row],[Date of Join]])</f>
        <v>2019</v>
      </c>
    </row>
    <row r="96" spans="1:20" ht="12.75" x14ac:dyDescent="0.2">
      <c r="A96" s="1" t="s">
        <v>283</v>
      </c>
      <c r="B96" s="1" t="s">
        <v>133</v>
      </c>
      <c r="C96" s="1" t="s">
        <v>14</v>
      </c>
      <c r="D96" s="1" t="s">
        <v>33</v>
      </c>
      <c r="E96" s="2">
        <v>43444</v>
      </c>
      <c r="F96" s="1" t="s">
        <v>29</v>
      </c>
      <c r="G96" s="1" t="s">
        <v>17</v>
      </c>
      <c r="H96" s="5">
        <v>51100</v>
      </c>
      <c r="I96" s="1" t="s">
        <v>18</v>
      </c>
      <c r="J96" s="1">
        <v>36</v>
      </c>
      <c r="K96" s="1" t="s">
        <v>39</v>
      </c>
      <c r="L96" s="1">
        <v>15</v>
      </c>
      <c r="M96" s="1" t="s">
        <v>18</v>
      </c>
      <c r="N96" s="2">
        <f t="shared" ca="1" si="2"/>
        <v>46221</v>
      </c>
      <c r="O96" s="1" t="str">
        <f ca="1">DATEDIF(Employee_TableData[[#This Row],[Date of Join]],Employee_TableData[[#This Row],[Today''s Date]],"y") &amp; "years"</f>
        <v>7years</v>
      </c>
      <c r="P96" s="3" t="str">
        <f>(Employee_TableData[[#This Row],[Employee ID]] &amp; " | " &amp; (Employee_TableData[[#This Row],[Name]]))</f>
        <v>ADPT0095 | Dev Joshi</v>
      </c>
      <c r="Q96" s="3" t="str" cm="1">
        <f t="array" ref="Q9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6" s="3">
        <f>DAY(Employee_TableData[[#This Row],[Date of Join]])</f>
        <v>10</v>
      </c>
      <c r="S96" s="3" t="str">
        <f>TEXT(Employee_TableData[[#This Row],[Date of Join]],"mmm")</f>
        <v>Dec</v>
      </c>
      <c r="T96" s="3">
        <f>YEAR(Employee_TableData[[#This Row],[Date of Join]])</f>
        <v>2018</v>
      </c>
    </row>
    <row r="97" spans="1:20" ht="12.75" x14ac:dyDescent="0.2">
      <c r="A97" s="1" t="s">
        <v>284</v>
      </c>
      <c r="B97" s="1" t="s">
        <v>134</v>
      </c>
      <c r="C97" s="1" t="s">
        <v>21</v>
      </c>
      <c r="D97" s="1" t="s">
        <v>26</v>
      </c>
      <c r="E97" s="2">
        <v>45050</v>
      </c>
      <c r="F97" s="1" t="s">
        <v>37</v>
      </c>
      <c r="G97" s="1" t="s">
        <v>30</v>
      </c>
      <c r="H97" s="5">
        <v>63500</v>
      </c>
      <c r="I97" s="1" t="s">
        <v>31</v>
      </c>
      <c r="J97" s="1">
        <v>28</v>
      </c>
      <c r="K97" s="1" t="s">
        <v>19</v>
      </c>
      <c r="L97" s="1">
        <v>20</v>
      </c>
      <c r="M97" s="1" t="s">
        <v>18</v>
      </c>
      <c r="N97" s="2">
        <f t="shared" ca="1" si="2"/>
        <v>46221</v>
      </c>
      <c r="O97" s="1" t="str">
        <f ca="1">DATEDIF(Employee_TableData[[#This Row],[Date of Join]],Employee_TableData[[#This Row],[Today''s Date]],"y") &amp; "years"</f>
        <v>3years</v>
      </c>
      <c r="P97" s="3" t="str">
        <f>(Employee_TableData[[#This Row],[Employee ID]] &amp; " | " &amp; (Employee_TableData[[#This Row],[Name]]))</f>
        <v>ADPT0096 | Pari Sharma</v>
      </c>
      <c r="Q97" s="3" t="str" cm="1">
        <f t="array" ref="Q9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7" s="3">
        <f>DAY(Employee_TableData[[#This Row],[Date of Join]])</f>
        <v>4</v>
      </c>
      <c r="S97" s="3" t="str">
        <f>TEXT(Employee_TableData[[#This Row],[Date of Join]],"mmm")</f>
        <v>May</v>
      </c>
      <c r="T97" s="3">
        <f>YEAR(Employee_TableData[[#This Row],[Date of Join]])</f>
        <v>2023</v>
      </c>
    </row>
    <row r="98" spans="1:20" ht="12.75" x14ac:dyDescent="0.2">
      <c r="A98" s="1" t="s">
        <v>285</v>
      </c>
      <c r="B98" s="1" t="s">
        <v>135</v>
      </c>
      <c r="C98" s="1" t="s">
        <v>21</v>
      </c>
      <c r="D98" s="1" t="s">
        <v>15</v>
      </c>
      <c r="E98" s="2">
        <v>44497</v>
      </c>
      <c r="F98" s="1" t="s">
        <v>16</v>
      </c>
      <c r="G98" s="1" t="s">
        <v>34</v>
      </c>
      <c r="H98" s="5">
        <v>78900</v>
      </c>
      <c r="I98" s="1" t="s">
        <v>35</v>
      </c>
      <c r="J98" s="1">
        <v>30</v>
      </c>
      <c r="K98" s="1" t="s">
        <v>19</v>
      </c>
      <c r="L98" s="1">
        <v>17</v>
      </c>
      <c r="M98" s="1" t="s">
        <v>18</v>
      </c>
      <c r="N98" s="2">
        <f t="shared" ref="N98:N129" ca="1" si="3">TODAY()</f>
        <v>46221</v>
      </c>
      <c r="O98" s="1" t="str">
        <f ca="1">DATEDIF(Employee_TableData[[#This Row],[Date of Join]],Employee_TableData[[#This Row],[Today''s Date]],"y") &amp; "years"</f>
        <v>4years</v>
      </c>
      <c r="P98" s="3" t="str">
        <f>(Employee_TableData[[#This Row],[Employee ID]] &amp; " | " &amp; (Employee_TableData[[#This Row],[Name]]))</f>
        <v>ADPT0097 | Aanya Kapoor</v>
      </c>
      <c r="Q98" s="3" t="str" cm="1">
        <f t="array" ref="Q9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98" s="3">
        <f>DAY(Employee_TableData[[#This Row],[Date of Join]])</f>
        <v>28</v>
      </c>
      <c r="S98" s="3" t="str">
        <f>TEXT(Employee_TableData[[#This Row],[Date of Join]],"mmm")</f>
        <v>Oct</v>
      </c>
      <c r="T98" s="3">
        <f>YEAR(Employee_TableData[[#This Row],[Date of Join]])</f>
        <v>2021</v>
      </c>
    </row>
    <row r="99" spans="1:20" ht="12.75" x14ac:dyDescent="0.2">
      <c r="A99" s="1" t="s">
        <v>286</v>
      </c>
      <c r="B99" s="1" t="s">
        <v>136</v>
      </c>
      <c r="C99" s="1" t="s">
        <v>21</v>
      </c>
      <c r="D99" s="1" t="s">
        <v>22</v>
      </c>
      <c r="E99" s="2">
        <v>43873</v>
      </c>
      <c r="F99" s="1" t="s">
        <v>16</v>
      </c>
      <c r="G99" s="1" t="s">
        <v>38</v>
      </c>
      <c r="H99" s="5">
        <v>46000</v>
      </c>
      <c r="I99" s="1" t="s">
        <v>18</v>
      </c>
      <c r="J99" s="1">
        <v>38</v>
      </c>
      <c r="K99" s="1" t="s">
        <v>39</v>
      </c>
      <c r="L99" s="1">
        <v>21</v>
      </c>
      <c r="M99" s="1" t="s">
        <v>31</v>
      </c>
      <c r="N99" s="2">
        <f t="shared" ca="1" si="3"/>
        <v>46221</v>
      </c>
      <c r="O99" s="1" t="str">
        <f ca="1">DATEDIF(Employee_TableData[[#This Row],[Date of Join]],Employee_TableData[[#This Row],[Today''s Date]],"y") &amp; "years"</f>
        <v>6years</v>
      </c>
      <c r="P99" s="3" t="str">
        <f>(Employee_TableData[[#This Row],[Employee ID]] &amp; " | " &amp; (Employee_TableData[[#This Row],[Name]]))</f>
        <v>ADPT0098 | Kiara Choudhary</v>
      </c>
      <c r="Q99" s="3" t="str" cm="1">
        <f t="array" ref="Q9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99" s="3">
        <f>DAY(Employee_TableData[[#This Row],[Date of Join]])</f>
        <v>12</v>
      </c>
      <c r="S99" s="3" t="str">
        <f>TEXT(Employee_TableData[[#This Row],[Date of Join]],"mmm")</f>
        <v>Feb</v>
      </c>
      <c r="T99" s="3">
        <f>YEAR(Employee_TableData[[#This Row],[Date of Join]])</f>
        <v>2020</v>
      </c>
    </row>
    <row r="100" spans="1:20" ht="12.75" x14ac:dyDescent="0.2">
      <c r="A100" s="1" t="s">
        <v>287</v>
      </c>
      <c r="B100" s="1" t="s">
        <v>137</v>
      </c>
      <c r="C100" s="1" t="s">
        <v>14</v>
      </c>
      <c r="D100" s="1" t="s">
        <v>15</v>
      </c>
      <c r="E100" s="2">
        <v>43612</v>
      </c>
      <c r="F100" s="1" t="s">
        <v>29</v>
      </c>
      <c r="G100" s="1" t="s">
        <v>42</v>
      </c>
      <c r="H100" s="5">
        <v>44400</v>
      </c>
      <c r="I100" s="1" t="s">
        <v>18</v>
      </c>
      <c r="J100" s="1">
        <v>35</v>
      </c>
      <c r="K100" s="1" t="s">
        <v>19</v>
      </c>
      <c r="L100" s="1">
        <v>16</v>
      </c>
      <c r="M100" s="1" t="s">
        <v>18</v>
      </c>
      <c r="N100" s="2">
        <f t="shared" ca="1" si="3"/>
        <v>46221</v>
      </c>
      <c r="O100" s="1" t="str">
        <f ca="1">DATEDIF(Employee_TableData[[#This Row],[Date of Join]],Employee_TableData[[#This Row],[Today''s Date]],"y") &amp; "years"</f>
        <v>7years</v>
      </c>
      <c r="P100" s="3" t="str">
        <f>(Employee_TableData[[#This Row],[Employee ID]] &amp; " | " &amp; (Employee_TableData[[#This Row],[Name]]))</f>
        <v>ADPT0099 | Reyansh Iyer</v>
      </c>
      <c r="Q100" s="3" t="str" cm="1">
        <f t="array" ref="Q10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0" s="3">
        <f>DAY(Employee_TableData[[#This Row],[Date of Join]])</f>
        <v>27</v>
      </c>
      <c r="S100" s="3" t="str">
        <f>TEXT(Employee_TableData[[#This Row],[Date of Join]],"mmm")</f>
        <v>May</v>
      </c>
      <c r="T100" s="3">
        <f>YEAR(Employee_TableData[[#This Row],[Date of Join]])</f>
        <v>2019</v>
      </c>
    </row>
    <row r="101" spans="1:20" ht="12.75" x14ac:dyDescent="0.2">
      <c r="A101" s="1" t="s">
        <v>288</v>
      </c>
      <c r="B101" s="1" t="s">
        <v>138</v>
      </c>
      <c r="C101" s="1" t="s">
        <v>21</v>
      </c>
      <c r="D101" s="1" t="s">
        <v>26</v>
      </c>
      <c r="E101" s="2">
        <v>44907</v>
      </c>
      <c r="F101" s="1" t="s">
        <v>16</v>
      </c>
      <c r="G101" s="1" t="s">
        <v>27</v>
      </c>
      <c r="H101" s="5">
        <v>36200</v>
      </c>
      <c r="I101" s="1" t="s">
        <v>24</v>
      </c>
      <c r="J101" s="1">
        <v>40</v>
      </c>
      <c r="K101" s="1" t="s">
        <v>39</v>
      </c>
      <c r="L101" s="1">
        <v>24</v>
      </c>
      <c r="M101" s="1" t="s">
        <v>31</v>
      </c>
      <c r="N101" s="2">
        <f t="shared" ca="1" si="3"/>
        <v>46221</v>
      </c>
      <c r="O101" s="1" t="str">
        <f ca="1">DATEDIF(Employee_TableData[[#This Row],[Date of Join]],Employee_TableData[[#This Row],[Today''s Date]],"y") &amp; "years"</f>
        <v>3years</v>
      </c>
      <c r="P101" s="3" t="str">
        <f>(Employee_TableData[[#This Row],[Employee ID]] &amp; " | " &amp; (Employee_TableData[[#This Row],[Name]]))</f>
        <v>ADPT0100 | Samaira Agarwal</v>
      </c>
      <c r="Q101" s="3" t="str" cm="1">
        <f t="array" ref="Q10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01" s="3">
        <f>DAY(Employee_TableData[[#This Row],[Date of Join]])</f>
        <v>12</v>
      </c>
      <c r="S101" s="3" t="str">
        <f>TEXT(Employee_TableData[[#This Row],[Date of Join]],"mmm")</f>
        <v>Dec</v>
      </c>
      <c r="T101" s="3">
        <f>YEAR(Employee_TableData[[#This Row],[Date of Join]])</f>
        <v>2022</v>
      </c>
    </row>
    <row r="102" spans="1:20" ht="12.75" x14ac:dyDescent="0.2">
      <c r="A102" s="1" t="s">
        <v>289</v>
      </c>
      <c r="B102" s="1" t="s">
        <v>139</v>
      </c>
      <c r="C102" s="1" t="s">
        <v>21</v>
      </c>
      <c r="D102" s="1" t="s">
        <v>22</v>
      </c>
      <c r="E102" s="2">
        <v>44312</v>
      </c>
      <c r="F102" s="1" t="s">
        <v>16</v>
      </c>
      <c r="G102" s="1" t="s">
        <v>23</v>
      </c>
      <c r="H102" s="5">
        <v>38800</v>
      </c>
      <c r="I102" s="1" t="s">
        <v>24</v>
      </c>
      <c r="J102" s="1">
        <v>32</v>
      </c>
      <c r="K102" s="1" t="s">
        <v>19</v>
      </c>
      <c r="L102" s="1">
        <v>20</v>
      </c>
      <c r="M102" s="1" t="s">
        <v>18</v>
      </c>
      <c r="N102" s="2">
        <f t="shared" ca="1" si="3"/>
        <v>46221</v>
      </c>
      <c r="O102" s="1" t="str">
        <f ca="1">DATEDIF(Employee_TableData[[#This Row],[Date of Join]],Employee_TableData[[#This Row],[Today''s Date]],"y") &amp; "years"</f>
        <v>5years</v>
      </c>
      <c r="P102" s="3" t="str">
        <f>(Employee_TableData[[#This Row],[Employee ID]] &amp; " | " &amp; (Employee_TableData[[#This Row],[Name]]))</f>
        <v>ADPT0101 | Avani Malhotra</v>
      </c>
      <c r="Q102" s="3" t="str" cm="1">
        <f t="array" ref="Q10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02" s="3">
        <f>DAY(Employee_TableData[[#This Row],[Date of Join]])</f>
        <v>26</v>
      </c>
      <c r="S102" s="3" t="str">
        <f>TEXT(Employee_TableData[[#This Row],[Date of Join]],"mmm")</f>
        <v>Apr</v>
      </c>
      <c r="T102" s="3">
        <f>YEAR(Employee_TableData[[#This Row],[Date of Join]])</f>
        <v>2021</v>
      </c>
    </row>
    <row r="103" spans="1:20" ht="12.75" x14ac:dyDescent="0.2">
      <c r="A103" s="1" t="s">
        <v>290</v>
      </c>
      <c r="B103" s="1" t="s">
        <v>140</v>
      </c>
      <c r="C103" s="1" t="s">
        <v>14</v>
      </c>
      <c r="D103" s="1" t="s">
        <v>15</v>
      </c>
      <c r="E103" s="2">
        <v>43352</v>
      </c>
      <c r="F103" s="1" t="s">
        <v>29</v>
      </c>
      <c r="G103" s="1" t="s">
        <v>44</v>
      </c>
      <c r="H103" s="5">
        <v>57800</v>
      </c>
      <c r="I103" s="1" t="s">
        <v>31</v>
      </c>
      <c r="J103" s="1">
        <v>37</v>
      </c>
      <c r="K103" s="1" t="s">
        <v>39</v>
      </c>
      <c r="L103" s="1">
        <v>15</v>
      </c>
      <c r="M103" s="1" t="s">
        <v>18</v>
      </c>
      <c r="N103" s="2">
        <f t="shared" ca="1" si="3"/>
        <v>46221</v>
      </c>
      <c r="O103" s="1" t="str">
        <f ca="1">DATEDIF(Employee_TableData[[#This Row],[Date of Join]],Employee_TableData[[#This Row],[Today''s Date]],"y") &amp; "years"</f>
        <v>7years</v>
      </c>
      <c r="P103" s="3" t="str">
        <f>(Employee_TableData[[#This Row],[Employee ID]] &amp; " | " &amp; (Employee_TableData[[#This Row],[Name]]))</f>
        <v>ADPT0102 | Kiaan Rana</v>
      </c>
      <c r="Q103" s="3" t="str" cm="1">
        <f t="array" ref="Q10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3" s="3">
        <f>DAY(Employee_TableData[[#This Row],[Date of Join]])</f>
        <v>9</v>
      </c>
      <c r="S103" s="3" t="str">
        <f>TEXT(Employee_TableData[[#This Row],[Date of Join]],"mmm")</f>
        <v>Sept</v>
      </c>
      <c r="T103" s="3">
        <f>YEAR(Employee_TableData[[#This Row],[Date of Join]])</f>
        <v>2018</v>
      </c>
    </row>
    <row r="104" spans="1:20" ht="12.75" x14ac:dyDescent="0.2">
      <c r="A104" s="1" t="s">
        <v>291</v>
      </c>
      <c r="B104" s="1" t="s">
        <v>141</v>
      </c>
      <c r="C104" s="1" t="s">
        <v>14</v>
      </c>
      <c r="D104" s="1" t="s">
        <v>33</v>
      </c>
      <c r="E104" s="2">
        <v>43039</v>
      </c>
      <c r="F104" s="1" t="s">
        <v>58</v>
      </c>
      <c r="G104" s="1" t="s">
        <v>46</v>
      </c>
      <c r="H104" s="5">
        <v>82800</v>
      </c>
      <c r="I104" s="1" t="s">
        <v>35</v>
      </c>
      <c r="J104" s="1">
        <v>52</v>
      </c>
      <c r="K104" s="1" t="s">
        <v>52</v>
      </c>
      <c r="L104" s="1">
        <v>20</v>
      </c>
      <c r="M104" s="1" t="s">
        <v>18</v>
      </c>
      <c r="N104" s="2">
        <f t="shared" ca="1" si="3"/>
        <v>46221</v>
      </c>
      <c r="O104" s="1" t="str">
        <f ca="1">DATEDIF(Employee_TableData[[#This Row],[Date of Join]],Employee_TableData[[#This Row],[Today''s Date]],"y") &amp; "years"</f>
        <v>8years</v>
      </c>
      <c r="P104" s="3" t="str">
        <f>(Employee_TableData[[#This Row],[Employee ID]] &amp; " | " &amp; (Employee_TableData[[#This Row],[Name]]))</f>
        <v>ADPT0103 | Aarav Shah</v>
      </c>
      <c r="Q104" s="3" t="str" cm="1">
        <f t="array" ref="Q10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4" s="3">
        <f>DAY(Employee_TableData[[#This Row],[Date of Join]])</f>
        <v>31</v>
      </c>
      <c r="S104" s="3" t="str">
        <f>TEXT(Employee_TableData[[#This Row],[Date of Join]],"mmm")</f>
        <v>Oct</v>
      </c>
      <c r="T104" s="3">
        <f>YEAR(Employee_TableData[[#This Row],[Date of Join]])</f>
        <v>2017</v>
      </c>
    </row>
    <row r="105" spans="1:20" ht="12.75" x14ac:dyDescent="0.2">
      <c r="A105" s="1" t="s">
        <v>292</v>
      </c>
      <c r="B105" s="1" t="s">
        <v>142</v>
      </c>
      <c r="C105" s="1" t="s">
        <v>21</v>
      </c>
      <c r="D105" s="1" t="s">
        <v>26</v>
      </c>
      <c r="E105" s="2">
        <v>44941</v>
      </c>
      <c r="F105" s="1" t="s">
        <v>37</v>
      </c>
      <c r="G105" s="1" t="s">
        <v>17</v>
      </c>
      <c r="H105" s="5">
        <v>53900</v>
      </c>
      <c r="I105" s="1" t="s">
        <v>18</v>
      </c>
      <c r="J105" s="1">
        <v>36</v>
      </c>
      <c r="K105" s="1" t="s">
        <v>39</v>
      </c>
      <c r="L105" s="1">
        <v>15</v>
      </c>
      <c r="M105" s="1" t="s">
        <v>18</v>
      </c>
      <c r="N105" s="2">
        <f t="shared" ca="1" si="3"/>
        <v>46221</v>
      </c>
      <c r="O105" s="1" t="str">
        <f ca="1">DATEDIF(Employee_TableData[[#This Row],[Date of Join]],Employee_TableData[[#This Row],[Today''s Date]],"y") &amp; "years"</f>
        <v>3years</v>
      </c>
      <c r="P105" s="3" t="str">
        <f>(Employee_TableData[[#This Row],[Employee ID]] &amp; " | " &amp; (Employee_TableData[[#This Row],[Name]]))</f>
        <v>ADPT0104 | Anaya Gupta</v>
      </c>
      <c r="Q105" s="3" t="str" cm="1">
        <f t="array" ref="Q10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5" s="3">
        <f>DAY(Employee_TableData[[#This Row],[Date of Join]])</f>
        <v>15</v>
      </c>
      <c r="S105" s="3" t="str">
        <f>TEXT(Employee_TableData[[#This Row],[Date of Join]],"mmm")</f>
        <v>Jan</v>
      </c>
      <c r="T105" s="3">
        <f>YEAR(Employee_TableData[[#This Row],[Date of Join]])</f>
        <v>2023</v>
      </c>
    </row>
    <row r="106" spans="1:20" ht="12.75" x14ac:dyDescent="0.2">
      <c r="A106" s="1" t="s">
        <v>293</v>
      </c>
      <c r="B106" s="1" t="s">
        <v>143</v>
      </c>
      <c r="C106" s="1" t="s">
        <v>14</v>
      </c>
      <c r="D106" s="1" t="s">
        <v>22</v>
      </c>
      <c r="E106" s="2">
        <v>44010</v>
      </c>
      <c r="F106" s="1" t="s">
        <v>16</v>
      </c>
      <c r="G106" s="1" t="s">
        <v>51</v>
      </c>
      <c r="H106" s="5">
        <v>73900</v>
      </c>
      <c r="I106" s="1" t="s">
        <v>35</v>
      </c>
      <c r="J106" s="1">
        <v>30</v>
      </c>
      <c r="K106" s="1" t="s">
        <v>19</v>
      </c>
      <c r="L106" s="1">
        <v>12</v>
      </c>
      <c r="M106" s="1" t="s">
        <v>18</v>
      </c>
      <c r="N106" s="2">
        <f t="shared" ca="1" si="3"/>
        <v>46221</v>
      </c>
      <c r="O106" s="1" t="str">
        <f ca="1">DATEDIF(Employee_TableData[[#This Row],[Date of Join]],Employee_TableData[[#This Row],[Today''s Date]],"y") &amp; "years"</f>
        <v>6years</v>
      </c>
      <c r="P106" s="3" t="str">
        <f>(Employee_TableData[[#This Row],[Employee ID]] &amp; " | " &amp; (Employee_TableData[[#This Row],[Name]]))</f>
        <v>ADPT0105 | Munch Munch</v>
      </c>
      <c r="Q106" s="3" t="str" cm="1">
        <f t="array" ref="Q10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6" s="3">
        <f>DAY(Employee_TableData[[#This Row],[Date of Join]])</f>
        <v>28</v>
      </c>
      <c r="S106" s="3" t="str">
        <f>TEXT(Employee_TableData[[#This Row],[Date of Join]],"mmm")</f>
        <v>Jun</v>
      </c>
      <c r="T106" s="3">
        <f>YEAR(Employee_TableData[[#This Row],[Date of Join]])</f>
        <v>2020</v>
      </c>
    </row>
    <row r="107" spans="1:20" ht="12.75" x14ac:dyDescent="0.2">
      <c r="A107" s="1" t="s">
        <v>294</v>
      </c>
      <c r="B107" s="1" t="s">
        <v>144</v>
      </c>
      <c r="C107" s="1" t="s">
        <v>21</v>
      </c>
      <c r="D107" s="1" t="s">
        <v>15</v>
      </c>
      <c r="E107" s="2">
        <v>43719</v>
      </c>
      <c r="F107" s="1" t="s">
        <v>29</v>
      </c>
      <c r="G107" s="1" t="s">
        <v>34</v>
      </c>
      <c r="H107" s="5">
        <v>76100</v>
      </c>
      <c r="I107" s="1" t="s">
        <v>35</v>
      </c>
      <c r="J107" s="1">
        <v>28</v>
      </c>
      <c r="K107" s="1" t="s">
        <v>19</v>
      </c>
      <c r="L107" s="1">
        <v>16</v>
      </c>
      <c r="M107" s="1" t="s">
        <v>18</v>
      </c>
      <c r="N107" s="2">
        <f t="shared" ca="1" si="3"/>
        <v>46221</v>
      </c>
      <c r="O107" s="1" t="str">
        <f ca="1">DATEDIF(Employee_TableData[[#This Row],[Date of Join]],Employee_TableData[[#This Row],[Today''s Date]],"y") &amp; "years"</f>
        <v>6years</v>
      </c>
      <c r="P107" s="3" t="str">
        <f>(Employee_TableData[[#This Row],[Employee ID]] &amp; " | " &amp; (Employee_TableData[[#This Row],[Name]]))</f>
        <v>ADPT0106 | Siya Trivedi</v>
      </c>
      <c r="Q107" s="3" t="str" cm="1">
        <f t="array" ref="Q10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7" s="3">
        <f>DAY(Employee_TableData[[#This Row],[Date of Join]])</f>
        <v>11</v>
      </c>
      <c r="S107" s="3" t="str">
        <f>TEXT(Employee_TableData[[#This Row],[Date of Join]],"mmm")</f>
        <v>Sept</v>
      </c>
      <c r="T107" s="3">
        <f>YEAR(Employee_TableData[[#This Row],[Date of Join]])</f>
        <v>2019</v>
      </c>
    </row>
    <row r="108" spans="1:20" ht="12.75" x14ac:dyDescent="0.2">
      <c r="A108" s="1" t="s">
        <v>295</v>
      </c>
      <c r="B108" s="1" t="s">
        <v>145</v>
      </c>
      <c r="C108" s="1" t="s">
        <v>14</v>
      </c>
      <c r="D108" s="1" t="s">
        <v>26</v>
      </c>
      <c r="E108" s="2">
        <v>44624</v>
      </c>
      <c r="F108" s="1" t="s">
        <v>16</v>
      </c>
      <c r="G108" s="1" t="s">
        <v>38</v>
      </c>
      <c r="H108" s="5">
        <v>45500</v>
      </c>
      <c r="I108" s="1" t="s">
        <v>18</v>
      </c>
      <c r="J108" s="1">
        <v>29</v>
      </c>
      <c r="K108" s="1" t="s">
        <v>19</v>
      </c>
      <c r="L108" s="1">
        <v>14</v>
      </c>
      <c r="M108" s="1" t="s">
        <v>18</v>
      </c>
      <c r="N108" s="2">
        <f t="shared" ca="1" si="3"/>
        <v>46221</v>
      </c>
      <c r="O108" s="1" t="str">
        <f ca="1">DATEDIF(Employee_TableData[[#This Row],[Date of Join]],Employee_TableData[[#This Row],[Today''s Date]],"y") &amp; "years"</f>
        <v>4years</v>
      </c>
      <c r="P108" s="3" t="str">
        <f>(Employee_TableData[[#This Row],[Employee ID]] &amp; " | " &amp; (Employee_TableData[[#This Row],[Name]]))</f>
        <v>ADPT0107 | Kabir Kapoor</v>
      </c>
      <c r="Q108" s="3" t="str" cm="1">
        <f t="array" ref="Q10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08" s="3">
        <f>DAY(Employee_TableData[[#This Row],[Date of Join]])</f>
        <v>4</v>
      </c>
      <c r="S108" s="3" t="str">
        <f>TEXT(Employee_TableData[[#This Row],[Date of Join]],"mmm")</f>
        <v>Mar</v>
      </c>
      <c r="T108" s="3">
        <f>YEAR(Employee_TableData[[#This Row],[Date of Join]])</f>
        <v>2022</v>
      </c>
    </row>
    <row r="109" spans="1:20" ht="12.75" x14ac:dyDescent="0.2">
      <c r="A109" s="1" t="s">
        <v>296</v>
      </c>
      <c r="B109" s="1" t="s">
        <v>146</v>
      </c>
      <c r="C109" s="1" t="s">
        <v>21</v>
      </c>
      <c r="D109" s="1" t="s">
        <v>22</v>
      </c>
      <c r="E109" s="2">
        <v>44364</v>
      </c>
      <c r="F109" s="1" t="s">
        <v>16</v>
      </c>
      <c r="G109" s="1" t="s">
        <v>42</v>
      </c>
      <c r="H109" s="5">
        <v>44600</v>
      </c>
      <c r="I109" s="1" t="s">
        <v>18</v>
      </c>
      <c r="J109" s="1">
        <v>37</v>
      </c>
      <c r="K109" s="1" t="s">
        <v>39</v>
      </c>
      <c r="L109" s="1">
        <v>10</v>
      </c>
      <c r="M109" s="1" t="s">
        <v>24</v>
      </c>
      <c r="N109" s="2">
        <f t="shared" ca="1" si="3"/>
        <v>46221</v>
      </c>
      <c r="O109" s="1" t="str">
        <f ca="1">DATEDIF(Employee_TableData[[#This Row],[Date of Join]],Employee_TableData[[#This Row],[Today''s Date]],"y") &amp; "years"</f>
        <v>5years</v>
      </c>
      <c r="P109" s="3" t="str">
        <f>(Employee_TableData[[#This Row],[Employee ID]] &amp; " | " &amp; (Employee_TableData[[#This Row],[Name]]))</f>
        <v>ADPT0108 | Rhea Saxena</v>
      </c>
      <c r="Q109" s="3" t="str" cm="1">
        <f t="array" ref="Q10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09" s="3">
        <f>DAY(Employee_TableData[[#This Row],[Date of Join]])</f>
        <v>17</v>
      </c>
      <c r="S109" s="3" t="str">
        <f>TEXT(Employee_TableData[[#This Row],[Date of Join]],"mmm")</f>
        <v>Jun</v>
      </c>
      <c r="T109" s="3">
        <f>YEAR(Employee_TableData[[#This Row],[Date of Join]])</f>
        <v>2021</v>
      </c>
    </row>
    <row r="110" spans="1:20" ht="12.75" x14ac:dyDescent="0.2">
      <c r="A110" s="1" t="s">
        <v>297</v>
      </c>
      <c r="B110" s="1" t="s">
        <v>147</v>
      </c>
      <c r="C110" s="1" t="s">
        <v>14</v>
      </c>
      <c r="D110" s="1" t="s">
        <v>15</v>
      </c>
      <c r="E110" s="2">
        <v>43434</v>
      </c>
      <c r="F110" s="1" t="s">
        <v>29</v>
      </c>
      <c r="G110" s="1" t="s">
        <v>27</v>
      </c>
      <c r="H110" s="5">
        <v>36100</v>
      </c>
      <c r="I110" s="1" t="s">
        <v>24</v>
      </c>
      <c r="J110" s="1">
        <v>27</v>
      </c>
      <c r="K110" s="1" t="s">
        <v>19</v>
      </c>
      <c r="L110" s="1">
        <v>8</v>
      </c>
      <c r="M110" s="1" t="s">
        <v>24</v>
      </c>
      <c r="N110" s="2">
        <f t="shared" ca="1" si="3"/>
        <v>46221</v>
      </c>
      <c r="O110" s="1" t="str">
        <f ca="1">DATEDIF(Employee_TableData[[#This Row],[Date of Join]],Employee_TableData[[#This Row],[Today''s Date]],"y") &amp; "years"</f>
        <v>7years</v>
      </c>
      <c r="P110" s="3" t="str">
        <f>(Employee_TableData[[#This Row],[Employee ID]] &amp; " | " &amp; (Employee_TableData[[#This Row],[Name]]))</f>
        <v>ADPT0109 | Advait Sharma</v>
      </c>
      <c r="Q110" s="3" t="str" cm="1">
        <f t="array" ref="Q11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10" s="3">
        <f>DAY(Employee_TableData[[#This Row],[Date of Join]])</f>
        <v>30</v>
      </c>
      <c r="S110" s="3" t="str">
        <f>TEXT(Employee_TableData[[#This Row],[Date of Join]],"mmm")</f>
        <v>Nov</v>
      </c>
      <c r="T110" s="3">
        <f>YEAR(Employee_TableData[[#This Row],[Date of Join]])</f>
        <v>2018</v>
      </c>
    </row>
    <row r="111" spans="1:20" ht="12.75" x14ac:dyDescent="0.2">
      <c r="A111" s="1" t="s">
        <v>298</v>
      </c>
      <c r="B111" s="1" t="s">
        <v>148</v>
      </c>
      <c r="C111" s="1" t="s">
        <v>14</v>
      </c>
      <c r="D111" s="1" t="s">
        <v>33</v>
      </c>
      <c r="E111" s="2">
        <v>42939</v>
      </c>
      <c r="F111" s="1" t="s">
        <v>58</v>
      </c>
      <c r="G111" s="1" t="s">
        <v>23</v>
      </c>
      <c r="H111" s="5">
        <v>35500</v>
      </c>
      <c r="I111" s="1" t="s">
        <v>24</v>
      </c>
      <c r="J111" s="1">
        <v>30</v>
      </c>
      <c r="K111" s="1" t="s">
        <v>19</v>
      </c>
      <c r="L111" s="1">
        <v>24</v>
      </c>
      <c r="M111" s="1" t="s">
        <v>31</v>
      </c>
      <c r="N111" s="2">
        <f t="shared" ca="1" si="3"/>
        <v>46221</v>
      </c>
      <c r="O111" s="1" t="str">
        <f ca="1">DATEDIF(Employee_TableData[[#This Row],[Date of Join]],Employee_TableData[[#This Row],[Today''s Date]],"y") &amp; "years"</f>
        <v>8years</v>
      </c>
      <c r="P111" s="3" t="str">
        <f>(Employee_TableData[[#This Row],[Employee ID]] &amp; " | " &amp; (Employee_TableData[[#This Row],[Name]]))</f>
        <v>ADPT0110 | Aarush Mishra</v>
      </c>
      <c r="Q111" s="3" t="str" cm="1">
        <f t="array" ref="Q11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11" s="3">
        <f>DAY(Employee_TableData[[#This Row],[Date of Join]])</f>
        <v>23</v>
      </c>
      <c r="S111" s="3" t="str">
        <f>TEXT(Employee_TableData[[#This Row],[Date of Join]],"mmm")</f>
        <v>Jul</v>
      </c>
      <c r="T111" s="3">
        <f>YEAR(Employee_TableData[[#This Row],[Date of Join]])</f>
        <v>2017</v>
      </c>
    </row>
    <row r="112" spans="1:20" ht="12.75" x14ac:dyDescent="0.2">
      <c r="A112" s="1" t="s">
        <v>299</v>
      </c>
      <c r="B112" s="1" t="s">
        <v>149</v>
      </c>
      <c r="C112" s="1" t="s">
        <v>21</v>
      </c>
      <c r="D112" s="1" t="s">
        <v>26</v>
      </c>
      <c r="E112" s="2">
        <v>45057</v>
      </c>
      <c r="F112" s="1" t="s">
        <v>37</v>
      </c>
      <c r="G112" s="1" t="s">
        <v>44</v>
      </c>
      <c r="H112" s="5">
        <v>58000</v>
      </c>
      <c r="I112" s="1" t="s">
        <v>31</v>
      </c>
      <c r="J112" s="1">
        <v>33</v>
      </c>
      <c r="K112" s="1" t="s">
        <v>19</v>
      </c>
      <c r="L112" s="1">
        <v>13</v>
      </c>
      <c r="M112" s="1" t="s">
        <v>18</v>
      </c>
      <c r="N112" s="2">
        <f t="shared" ca="1" si="3"/>
        <v>46221</v>
      </c>
      <c r="O112" s="1" t="str">
        <f ca="1">DATEDIF(Employee_TableData[[#This Row],[Date of Join]],Employee_TableData[[#This Row],[Today''s Date]],"y") &amp; "years"</f>
        <v>3years</v>
      </c>
      <c r="P112" s="3" t="str">
        <f>(Employee_TableData[[#This Row],[Employee ID]] &amp; " | " &amp; (Employee_TableData[[#This Row],[Name]]))</f>
        <v>ADPT0111 | Anika Chawla</v>
      </c>
      <c r="Q112" s="3" t="str" cm="1">
        <f t="array" ref="Q11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12" s="3">
        <f>DAY(Employee_TableData[[#This Row],[Date of Join]])</f>
        <v>11</v>
      </c>
      <c r="S112" s="3" t="str">
        <f>TEXT(Employee_TableData[[#This Row],[Date of Join]],"mmm")</f>
        <v>May</v>
      </c>
      <c r="T112" s="3">
        <f>YEAR(Employee_TableData[[#This Row],[Date of Join]])</f>
        <v>2023</v>
      </c>
    </row>
    <row r="113" spans="1:20" ht="12.75" x14ac:dyDescent="0.2">
      <c r="A113" s="1" t="s">
        <v>300</v>
      </c>
      <c r="B113" s="1" t="s">
        <v>150</v>
      </c>
      <c r="C113" s="1" t="s">
        <v>21</v>
      </c>
      <c r="D113" s="1" t="s">
        <v>22</v>
      </c>
      <c r="E113" s="2">
        <v>44128</v>
      </c>
      <c r="F113" s="1" t="s">
        <v>16</v>
      </c>
      <c r="G113" s="1" t="s">
        <v>46</v>
      </c>
      <c r="H113" s="5">
        <v>81400</v>
      </c>
      <c r="I113" s="1" t="s">
        <v>35</v>
      </c>
      <c r="J113" s="1">
        <v>35</v>
      </c>
      <c r="K113" s="1" t="s">
        <v>19</v>
      </c>
      <c r="L113" s="1">
        <v>19</v>
      </c>
      <c r="M113" s="1" t="s">
        <v>18</v>
      </c>
      <c r="N113" s="2">
        <f t="shared" ca="1" si="3"/>
        <v>46221</v>
      </c>
      <c r="O113" s="1" t="str">
        <f ca="1">DATEDIF(Employee_TableData[[#This Row],[Date of Join]],Employee_TableData[[#This Row],[Today''s Date]],"y") &amp; "years"</f>
        <v>5years</v>
      </c>
      <c r="P113" s="3" t="str">
        <f>(Employee_TableData[[#This Row],[Employee ID]] &amp; " | " &amp; (Employee_TableData[[#This Row],[Name]]))</f>
        <v>ADPT0112 | Zara Verma</v>
      </c>
      <c r="Q113" s="3" t="str" cm="1">
        <f t="array" ref="Q11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13" s="3">
        <f>DAY(Employee_TableData[[#This Row],[Date of Join]])</f>
        <v>24</v>
      </c>
      <c r="S113" s="3" t="str">
        <f>TEXT(Employee_TableData[[#This Row],[Date of Join]],"mmm")</f>
        <v>Oct</v>
      </c>
      <c r="T113" s="3">
        <f>YEAR(Employee_TableData[[#This Row],[Date of Join]])</f>
        <v>2020</v>
      </c>
    </row>
    <row r="114" spans="1:20" ht="12.75" x14ac:dyDescent="0.2">
      <c r="A114" s="1" t="s">
        <v>301</v>
      </c>
      <c r="B114" s="1" t="s">
        <v>151</v>
      </c>
      <c r="C114" s="1" t="s">
        <v>14</v>
      </c>
      <c r="D114" s="1" t="s">
        <v>15</v>
      </c>
      <c r="E114" s="2">
        <v>43570</v>
      </c>
      <c r="F114" s="1" t="s">
        <v>29</v>
      </c>
      <c r="G114" s="1" t="s">
        <v>17</v>
      </c>
      <c r="H114" s="5">
        <v>51000</v>
      </c>
      <c r="I114" s="1" t="s">
        <v>18</v>
      </c>
      <c r="J114" s="1">
        <v>35</v>
      </c>
      <c r="K114" s="1" t="s">
        <v>19</v>
      </c>
      <c r="L114" s="1">
        <v>22</v>
      </c>
      <c r="M114" s="1" t="s">
        <v>31</v>
      </c>
      <c r="N114" s="2">
        <f t="shared" ca="1" si="3"/>
        <v>46221</v>
      </c>
      <c r="O114" s="1" t="str">
        <f ca="1">DATEDIF(Employee_TableData[[#This Row],[Date of Join]],Employee_TableData[[#This Row],[Today''s Date]],"y") &amp; "years"</f>
        <v>7years</v>
      </c>
      <c r="P114" s="3" t="str">
        <f>(Employee_TableData[[#This Row],[Employee ID]] &amp; " | " &amp; (Employee_TableData[[#This Row],[Name]]))</f>
        <v>ADPT0113 | Dev Agarwal</v>
      </c>
      <c r="Q114" s="3" t="str" cm="1">
        <f t="array" ref="Q11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14" s="3">
        <f>DAY(Employee_TableData[[#This Row],[Date of Join]])</f>
        <v>15</v>
      </c>
      <c r="S114" s="3" t="str">
        <f>TEXT(Employee_TableData[[#This Row],[Date of Join]],"mmm")</f>
        <v>Apr</v>
      </c>
      <c r="T114" s="3">
        <f>YEAR(Employee_TableData[[#This Row],[Date of Join]])</f>
        <v>2019</v>
      </c>
    </row>
    <row r="115" spans="1:20" ht="12.75" x14ac:dyDescent="0.2">
      <c r="A115" s="1" t="s">
        <v>302</v>
      </c>
      <c r="B115" s="1" t="s">
        <v>152</v>
      </c>
      <c r="C115" s="1" t="s">
        <v>21</v>
      </c>
      <c r="D115" s="1" t="s">
        <v>33</v>
      </c>
      <c r="E115" s="2">
        <v>43351</v>
      </c>
      <c r="F115" s="1" t="s">
        <v>29</v>
      </c>
      <c r="G115" s="1" t="s">
        <v>30</v>
      </c>
      <c r="H115" s="5">
        <v>61600</v>
      </c>
      <c r="I115" s="1" t="s">
        <v>31</v>
      </c>
      <c r="J115" s="1">
        <v>31</v>
      </c>
      <c r="K115" s="1" t="s">
        <v>19</v>
      </c>
      <c r="L115" s="1">
        <v>15</v>
      </c>
      <c r="M115" s="1" t="s">
        <v>18</v>
      </c>
      <c r="N115" s="2">
        <f t="shared" ca="1" si="3"/>
        <v>46221</v>
      </c>
      <c r="O115" s="1" t="str">
        <f ca="1">DATEDIF(Employee_TableData[[#This Row],[Date of Join]],Employee_TableData[[#This Row],[Today''s Date]],"y") &amp; "years"</f>
        <v>7years</v>
      </c>
      <c r="P115" s="3" t="str">
        <f>(Employee_TableData[[#This Row],[Employee ID]] &amp; " | " &amp; (Employee_TableData[[#This Row],[Name]]))</f>
        <v>ADPT0114 | Pari Kumar</v>
      </c>
      <c r="Q115" s="3" t="str" cm="1">
        <f t="array" ref="Q11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15" s="3">
        <f>DAY(Employee_TableData[[#This Row],[Date of Join]])</f>
        <v>8</v>
      </c>
      <c r="S115" s="3" t="str">
        <f>TEXT(Employee_TableData[[#This Row],[Date of Join]],"mmm")</f>
        <v>Sept</v>
      </c>
      <c r="T115" s="3">
        <f>YEAR(Employee_TableData[[#This Row],[Date of Join]])</f>
        <v>2018</v>
      </c>
    </row>
    <row r="116" spans="1:20" ht="12.75" x14ac:dyDescent="0.2">
      <c r="A116" s="1" t="s">
        <v>303</v>
      </c>
      <c r="B116" s="1" t="s">
        <v>153</v>
      </c>
      <c r="C116" s="1" t="s">
        <v>21</v>
      </c>
      <c r="D116" s="1" t="s">
        <v>26</v>
      </c>
      <c r="E116" s="2">
        <v>44529</v>
      </c>
      <c r="F116" s="1" t="s">
        <v>16</v>
      </c>
      <c r="G116" s="1" t="s">
        <v>34</v>
      </c>
      <c r="H116" s="5">
        <v>77100</v>
      </c>
      <c r="I116" s="1" t="s">
        <v>35</v>
      </c>
      <c r="J116" s="1">
        <v>32</v>
      </c>
      <c r="K116" s="1" t="s">
        <v>19</v>
      </c>
      <c r="L116" s="1">
        <v>9</v>
      </c>
      <c r="M116" s="1" t="s">
        <v>24</v>
      </c>
      <c r="N116" s="2">
        <f t="shared" ca="1" si="3"/>
        <v>46221</v>
      </c>
      <c r="O116" s="1" t="str">
        <f ca="1">DATEDIF(Employee_TableData[[#This Row],[Date of Join]],Employee_TableData[[#This Row],[Today''s Date]],"y") &amp; "years"</f>
        <v>4years</v>
      </c>
      <c r="P116" s="3" t="str">
        <f>(Employee_TableData[[#This Row],[Employee ID]] &amp; " | " &amp; (Employee_TableData[[#This Row],[Name]]))</f>
        <v>ADPT0115 | Aanya Singh</v>
      </c>
      <c r="Q116" s="3" t="str" cm="1">
        <f t="array" ref="Q11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16" s="3">
        <f>DAY(Employee_TableData[[#This Row],[Date of Join]])</f>
        <v>29</v>
      </c>
      <c r="S116" s="3" t="str">
        <f>TEXT(Employee_TableData[[#This Row],[Date of Join]],"mmm")</f>
        <v>Nov</v>
      </c>
      <c r="T116" s="3">
        <f>YEAR(Employee_TableData[[#This Row],[Date of Join]])</f>
        <v>2021</v>
      </c>
    </row>
    <row r="117" spans="1:20" ht="12.75" x14ac:dyDescent="0.2">
      <c r="A117" s="1" t="s">
        <v>304</v>
      </c>
      <c r="B117" s="1" t="s">
        <v>154</v>
      </c>
      <c r="C117" s="1" t="s">
        <v>21</v>
      </c>
      <c r="D117" s="1" t="s">
        <v>22</v>
      </c>
      <c r="E117" s="2">
        <v>44025</v>
      </c>
      <c r="F117" s="1" t="s">
        <v>16</v>
      </c>
      <c r="G117" s="1" t="s">
        <v>38</v>
      </c>
      <c r="H117" s="5">
        <v>47900</v>
      </c>
      <c r="I117" s="1" t="s">
        <v>18</v>
      </c>
      <c r="J117" s="1">
        <v>32</v>
      </c>
      <c r="K117" s="1" t="s">
        <v>19</v>
      </c>
      <c r="L117" s="1">
        <v>9</v>
      </c>
      <c r="M117" s="1" t="s">
        <v>24</v>
      </c>
      <c r="N117" s="2">
        <f t="shared" ca="1" si="3"/>
        <v>46221</v>
      </c>
      <c r="O117" s="1" t="str">
        <f ca="1">DATEDIF(Employee_TableData[[#This Row],[Date of Join]],Employee_TableData[[#This Row],[Today''s Date]],"y") &amp; "years"</f>
        <v>6years</v>
      </c>
      <c r="P117" s="3" t="str">
        <f>(Employee_TableData[[#This Row],[Employee ID]] &amp; " | " &amp; (Employee_TableData[[#This Row],[Name]]))</f>
        <v>ADPT0116 | Kiara Joshi</v>
      </c>
      <c r="Q117" s="3" t="str" cm="1">
        <f t="array" ref="Q11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17" s="3">
        <f>DAY(Employee_TableData[[#This Row],[Date of Join]])</f>
        <v>13</v>
      </c>
      <c r="S117" s="3" t="str">
        <f>TEXT(Employee_TableData[[#This Row],[Date of Join]],"mmm")</f>
        <v>Jul</v>
      </c>
      <c r="T117" s="3">
        <f>YEAR(Employee_TableData[[#This Row],[Date of Join]])</f>
        <v>2020</v>
      </c>
    </row>
    <row r="118" spans="1:20" ht="12.75" x14ac:dyDescent="0.2">
      <c r="A118" s="1" t="s">
        <v>305</v>
      </c>
      <c r="B118" s="1" t="s">
        <v>155</v>
      </c>
      <c r="C118" s="1" t="s">
        <v>14</v>
      </c>
      <c r="D118" s="1" t="s">
        <v>15</v>
      </c>
      <c r="E118" s="2">
        <v>43552</v>
      </c>
      <c r="F118" s="1" t="s">
        <v>29</v>
      </c>
      <c r="G118" s="1" t="s">
        <v>42</v>
      </c>
      <c r="H118" s="5">
        <v>43000</v>
      </c>
      <c r="I118" s="1" t="s">
        <v>18</v>
      </c>
      <c r="J118" s="1">
        <v>28</v>
      </c>
      <c r="K118" s="1" t="s">
        <v>19</v>
      </c>
      <c r="L118" s="1">
        <v>17</v>
      </c>
      <c r="M118" s="1" t="s">
        <v>18</v>
      </c>
      <c r="N118" s="2">
        <f t="shared" ca="1" si="3"/>
        <v>46221</v>
      </c>
      <c r="O118" s="1" t="str">
        <f ca="1">DATEDIF(Employee_TableData[[#This Row],[Date of Join]],Employee_TableData[[#This Row],[Today''s Date]],"y") &amp; "years"</f>
        <v>7years</v>
      </c>
      <c r="P118" s="3" t="str">
        <f>(Employee_TableData[[#This Row],[Employee ID]] &amp; " | " &amp; (Employee_TableData[[#This Row],[Name]]))</f>
        <v>ADPT0117 | Reyansh Malhotra</v>
      </c>
      <c r="Q118" s="3" t="str" cm="1">
        <f t="array" ref="Q11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18" s="3">
        <f>DAY(Employee_TableData[[#This Row],[Date of Join]])</f>
        <v>28</v>
      </c>
      <c r="S118" s="3" t="str">
        <f>TEXT(Employee_TableData[[#This Row],[Date of Join]],"mmm")</f>
        <v>Mar</v>
      </c>
      <c r="T118" s="3">
        <f>YEAR(Employee_TableData[[#This Row],[Date of Join]])</f>
        <v>2019</v>
      </c>
    </row>
    <row r="119" spans="1:20" ht="12.75" x14ac:dyDescent="0.2">
      <c r="A119" s="1" t="s">
        <v>306</v>
      </c>
      <c r="B119" s="1" t="s">
        <v>156</v>
      </c>
      <c r="C119" s="1" t="s">
        <v>21</v>
      </c>
      <c r="D119" s="1" t="s">
        <v>26</v>
      </c>
      <c r="E119" s="2">
        <v>44785</v>
      </c>
      <c r="F119" s="1" t="s">
        <v>16</v>
      </c>
      <c r="G119" s="1" t="s">
        <v>27</v>
      </c>
      <c r="H119" s="5">
        <v>35100</v>
      </c>
      <c r="I119" s="1" t="s">
        <v>24</v>
      </c>
      <c r="J119" s="1">
        <v>36</v>
      </c>
      <c r="K119" s="1" t="s">
        <v>39</v>
      </c>
      <c r="L119" s="1">
        <v>21</v>
      </c>
      <c r="M119" s="1" t="s">
        <v>31</v>
      </c>
      <c r="N119" s="2">
        <f t="shared" ca="1" si="3"/>
        <v>46221</v>
      </c>
      <c r="O119" s="1" t="str">
        <f ca="1">DATEDIF(Employee_TableData[[#This Row],[Date of Join]],Employee_TableData[[#This Row],[Today''s Date]],"y") &amp; "years"</f>
        <v>3years</v>
      </c>
      <c r="P119" s="3" t="str">
        <f>(Employee_TableData[[#This Row],[Employee ID]] &amp; " | " &amp; (Employee_TableData[[#This Row],[Name]]))</f>
        <v>ADPT0118 | M&amp;M Peanut</v>
      </c>
      <c r="Q119" s="3" t="str" cm="1">
        <f t="array" ref="Q11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19" s="3">
        <f>DAY(Employee_TableData[[#This Row],[Date of Join]])</f>
        <v>12</v>
      </c>
      <c r="S119" s="3" t="str">
        <f>TEXT(Employee_TableData[[#This Row],[Date of Join]],"mmm")</f>
        <v>Aug</v>
      </c>
      <c r="T119" s="3">
        <f>YEAR(Employee_TableData[[#This Row],[Date of Join]])</f>
        <v>2022</v>
      </c>
    </row>
    <row r="120" spans="1:20" ht="12.75" x14ac:dyDescent="0.2">
      <c r="A120" s="1" t="s">
        <v>307</v>
      </c>
      <c r="B120" s="1" t="s">
        <v>157</v>
      </c>
      <c r="C120" s="1" t="s">
        <v>21</v>
      </c>
      <c r="D120" s="1" t="s">
        <v>22</v>
      </c>
      <c r="E120" s="2">
        <v>44341</v>
      </c>
      <c r="F120" s="1" t="s">
        <v>16</v>
      </c>
      <c r="G120" s="1" t="s">
        <v>23</v>
      </c>
      <c r="H120" s="5">
        <v>39700</v>
      </c>
      <c r="I120" s="1" t="s">
        <v>24</v>
      </c>
      <c r="J120" s="1">
        <v>31</v>
      </c>
      <c r="K120" s="1" t="s">
        <v>19</v>
      </c>
      <c r="L120" s="1">
        <v>16</v>
      </c>
      <c r="M120" s="1" t="s">
        <v>18</v>
      </c>
      <c r="N120" s="2">
        <f t="shared" ca="1" si="3"/>
        <v>46221</v>
      </c>
      <c r="O120" s="1" t="str">
        <f ca="1">DATEDIF(Employee_TableData[[#This Row],[Date of Join]],Employee_TableData[[#This Row],[Today''s Date]],"y") &amp; "years"</f>
        <v>5years</v>
      </c>
      <c r="P120" s="3" t="str">
        <f>(Employee_TableData[[#This Row],[Employee ID]] &amp; " | " &amp; (Employee_TableData[[#This Row],[Name]]))</f>
        <v>ADPT0119 | Avani Agarwal</v>
      </c>
      <c r="Q120" s="3" t="str" cm="1">
        <f t="array" ref="Q12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20" s="3">
        <f>DAY(Employee_TableData[[#This Row],[Date of Join]])</f>
        <v>25</v>
      </c>
      <c r="S120" s="3" t="str">
        <f>TEXT(Employee_TableData[[#This Row],[Date of Join]],"mmm")</f>
        <v>May</v>
      </c>
      <c r="T120" s="3">
        <f>YEAR(Employee_TableData[[#This Row],[Date of Join]])</f>
        <v>2021</v>
      </c>
    </row>
    <row r="121" spans="1:20" ht="12.75" x14ac:dyDescent="0.2">
      <c r="A121" s="1" t="s">
        <v>308</v>
      </c>
      <c r="B121" s="1" t="s">
        <v>158</v>
      </c>
      <c r="C121" s="1" t="s">
        <v>14</v>
      </c>
      <c r="D121" s="1" t="s">
        <v>15</v>
      </c>
      <c r="E121" s="2">
        <v>43391</v>
      </c>
      <c r="F121" s="1" t="s">
        <v>29</v>
      </c>
      <c r="G121" s="1" t="s">
        <v>44</v>
      </c>
      <c r="H121" s="5">
        <v>59200</v>
      </c>
      <c r="I121" s="1" t="s">
        <v>31</v>
      </c>
      <c r="J121" s="1">
        <v>31</v>
      </c>
      <c r="K121" s="1" t="s">
        <v>19</v>
      </c>
      <c r="L121" s="1">
        <v>18</v>
      </c>
      <c r="M121" s="1" t="s">
        <v>18</v>
      </c>
      <c r="N121" s="2">
        <f t="shared" ca="1" si="3"/>
        <v>46221</v>
      </c>
      <c r="O121" s="1" t="str">
        <f ca="1">DATEDIF(Employee_TableData[[#This Row],[Date of Join]],Employee_TableData[[#This Row],[Today''s Date]],"y") &amp; "years"</f>
        <v>7years</v>
      </c>
      <c r="P121" s="3" t="str">
        <f>(Employee_TableData[[#This Row],[Employee ID]] &amp; " | " &amp; (Employee_TableData[[#This Row],[Name]]))</f>
        <v>ADPT0120 | Nestle Crunch</v>
      </c>
      <c r="Q121" s="3" t="str" cm="1">
        <f t="array" ref="Q12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21" s="3">
        <f>DAY(Employee_TableData[[#This Row],[Date of Join]])</f>
        <v>18</v>
      </c>
      <c r="S121" s="3" t="str">
        <f>TEXT(Employee_TableData[[#This Row],[Date of Join]],"mmm")</f>
        <v>Oct</v>
      </c>
      <c r="T121" s="3">
        <f>YEAR(Employee_TableData[[#This Row],[Date of Join]])</f>
        <v>2018</v>
      </c>
    </row>
    <row r="122" spans="1:20" ht="12.75" x14ac:dyDescent="0.2">
      <c r="A122" s="1" t="s">
        <v>309</v>
      </c>
      <c r="B122" s="1" t="s">
        <v>159</v>
      </c>
      <c r="C122" s="1" t="s">
        <v>14</v>
      </c>
      <c r="D122" s="1" t="s">
        <v>33</v>
      </c>
      <c r="E122" s="2">
        <v>42866</v>
      </c>
      <c r="F122" s="1" t="s">
        <v>58</v>
      </c>
      <c r="G122" s="1" t="s">
        <v>46</v>
      </c>
      <c r="H122" s="5">
        <v>85000</v>
      </c>
      <c r="I122" s="1" t="s">
        <v>35</v>
      </c>
      <c r="J122" s="1">
        <v>65</v>
      </c>
      <c r="K122" s="1" t="s">
        <v>52</v>
      </c>
      <c r="L122" s="1">
        <v>5</v>
      </c>
      <c r="M122" s="1" t="s">
        <v>24</v>
      </c>
      <c r="N122" s="2">
        <f t="shared" ca="1" si="3"/>
        <v>46221</v>
      </c>
      <c r="O122" s="1" t="str">
        <f ca="1">DATEDIF(Employee_TableData[[#This Row],[Date of Join]],Employee_TableData[[#This Row],[Today''s Date]],"y") &amp; "years"</f>
        <v>9years</v>
      </c>
      <c r="P122" s="3" t="str">
        <f>(Employee_TableData[[#This Row],[Employee ID]] &amp; " | " &amp; (Employee_TableData[[#This Row],[Name]]))</f>
        <v>ADPT0121 | Aarav Verma</v>
      </c>
      <c r="Q122" s="3" t="str" cm="1">
        <f t="array" ref="Q12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22" s="3">
        <f>DAY(Employee_TableData[[#This Row],[Date of Join]])</f>
        <v>11</v>
      </c>
      <c r="S122" s="3" t="str">
        <f>TEXT(Employee_TableData[[#This Row],[Date of Join]],"mmm")</f>
        <v>May</v>
      </c>
      <c r="T122" s="3">
        <f>YEAR(Employee_TableData[[#This Row],[Date of Join]])</f>
        <v>2017</v>
      </c>
    </row>
    <row r="123" spans="1:20" ht="12.75" x14ac:dyDescent="0.2">
      <c r="A123" s="1" t="s">
        <v>310</v>
      </c>
      <c r="B123" s="1" t="s">
        <v>160</v>
      </c>
      <c r="C123" s="1" t="s">
        <v>21</v>
      </c>
      <c r="D123" s="1" t="s">
        <v>26</v>
      </c>
      <c r="E123" s="2">
        <v>44952</v>
      </c>
      <c r="F123" s="1" t="s">
        <v>37</v>
      </c>
      <c r="G123" s="1" t="s">
        <v>17</v>
      </c>
      <c r="H123" s="5">
        <v>52700</v>
      </c>
      <c r="I123" s="1" t="s">
        <v>18</v>
      </c>
      <c r="J123" s="1">
        <v>30</v>
      </c>
      <c r="K123" s="1" t="s">
        <v>19</v>
      </c>
      <c r="L123" s="1">
        <v>10</v>
      </c>
      <c r="M123" s="1" t="s">
        <v>24</v>
      </c>
      <c r="N123" s="2">
        <f t="shared" ca="1" si="3"/>
        <v>46221</v>
      </c>
      <c r="O123" s="1" t="str">
        <f ca="1">DATEDIF(Employee_TableData[[#This Row],[Date of Join]],Employee_TableData[[#This Row],[Today''s Date]],"y") &amp; "years"</f>
        <v>3years</v>
      </c>
      <c r="P123" s="3" t="str">
        <f>(Employee_TableData[[#This Row],[Employee ID]] &amp; " | " &amp; (Employee_TableData[[#This Row],[Name]]))</f>
        <v>ADPT0122 | Anaya Choudhary</v>
      </c>
      <c r="Q123" s="3" t="str" cm="1">
        <f t="array" ref="Q12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23" s="3">
        <f>DAY(Employee_TableData[[#This Row],[Date of Join]])</f>
        <v>26</v>
      </c>
      <c r="S123" s="3" t="str">
        <f>TEXT(Employee_TableData[[#This Row],[Date of Join]],"mmm")</f>
        <v>Jan</v>
      </c>
      <c r="T123" s="3">
        <f>YEAR(Employee_TableData[[#This Row],[Date of Join]])</f>
        <v>2023</v>
      </c>
    </row>
    <row r="124" spans="1:20" ht="12.75" x14ac:dyDescent="0.2">
      <c r="A124" s="1" t="s">
        <v>311</v>
      </c>
      <c r="B124" s="1" t="s">
        <v>161</v>
      </c>
      <c r="C124" s="1" t="s">
        <v>14</v>
      </c>
      <c r="D124" s="1" t="s">
        <v>22</v>
      </c>
      <c r="E124" s="2">
        <v>44021</v>
      </c>
      <c r="F124" s="1" t="s">
        <v>16</v>
      </c>
      <c r="G124" s="1" t="s">
        <v>51</v>
      </c>
      <c r="H124" s="5">
        <v>74900</v>
      </c>
      <c r="I124" s="1" t="s">
        <v>35</v>
      </c>
      <c r="J124" s="1">
        <v>34</v>
      </c>
      <c r="K124" s="1" t="s">
        <v>19</v>
      </c>
      <c r="L124" s="1">
        <v>11</v>
      </c>
      <c r="M124" s="1" t="s">
        <v>18</v>
      </c>
      <c r="N124" s="2">
        <f t="shared" ca="1" si="3"/>
        <v>46221</v>
      </c>
      <c r="O124" s="1" t="str">
        <f ca="1">DATEDIF(Employee_TableData[[#This Row],[Date of Join]],Employee_TableData[[#This Row],[Today''s Date]],"y") &amp; "years"</f>
        <v>6years</v>
      </c>
      <c r="P124" s="3" t="str">
        <f>(Employee_TableData[[#This Row],[Employee ID]] &amp; " | " &amp; (Employee_TableData[[#This Row],[Name]]))</f>
        <v>ADPT0123 | Krish Trivedi</v>
      </c>
      <c r="Q124" s="3" t="str" cm="1">
        <f t="array" ref="Q12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24" s="3">
        <f>DAY(Employee_TableData[[#This Row],[Date of Join]])</f>
        <v>9</v>
      </c>
      <c r="S124" s="3" t="str">
        <f>TEXT(Employee_TableData[[#This Row],[Date of Join]],"mmm")</f>
        <v>Jul</v>
      </c>
      <c r="T124" s="3">
        <f>YEAR(Employee_TableData[[#This Row],[Date of Join]])</f>
        <v>2020</v>
      </c>
    </row>
    <row r="125" spans="1:20" ht="12.75" x14ac:dyDescent="0.2">
      <c r="A125" s="1" t="s">
        <v>312</v>
      </c>
      <c r="B125" s="1" t="s">
        <v>162</v>
      </c>
      <c r="C125" s="1" t="s">
        <v>21</v>
      </c>
      <c r="D125" s="1" t="s">
        <v>15</v>
      </c>
      <c r="E125" s="2">
        <v>43739</v>
      </c>
      <c r="F125" s="1" t="s">
        <v>29</v>
      </c>
      <c r="G125" s="1" t="s">
        <v>34</v>
      </c>
      <c r="H125" s="5">
        <v>77500</v>
      </c>
      <c r="I125" s="1" t="s">
        <v>35</v>
      </c>
      <c r="J125" s="1">
        <v>30</v>
      </c>
      <c r="K125" s="1" t="s">
        <v>19</v>
      </c>
      <c r="L125" s="1">
        <v>14</v>
      </c>
      <c r="M125" s="1" t="s">
        <v>18</v>
      </c>
      <c r="N125" s="2">
        <f t="shared" ca="1" si="3"/>
        <v>46221</v>
      </c>
      <c r="O125" s="1" t="str">
        <f ca="1">DATEDIF(Employee_TableData[[#This Row],[Date of Join]],Employee_TableData[[#This Row],[Today''s Date]],"y") &amp; "years"</f>
        <v>6years</v>
      </c>
      <c r="P125" s="3" t="str">
        <f>(Employee_TableData[[#This Row],[Employee ID]] &amp; " | " &amp; (Employee_TableData[[#This Row],[Name]]))</f>
        <v>ADPT0124 | Siya Rawat</v>
      </c>
      <c r="Q125" s="3" t="str" cm="1">
        <f t="array" ref="Q12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25" s="3">
        <f>DAY(Employee_TableData[[#This Row],[Date of Join]])</f>
        <v>1</v>
      </c>
      <c r="S125" s="3" t="str">
        <f>TEXT(Employee_TableData[[#This Row],[Date of Join]],"mmm")</f>
        <v>Oct</v>
      </c>
      <c r="T125" s="3">
        <f>YEAR(Employee_TableData[[#This Row],[Date of Join]])</f>
        <v>2019</v>
      </c>
    </row>
    <row r="126" spans="1:20" ht="12.75" x14ac:dyDescent="0.2">
      <c r="A126" s="1" t="s">
        <v>313</v>
      </c>
      <c r="B126" s="1" t="s">
        <v>163</v>
      </c>
      <c r="C126" s="1" t="s">
        <v>14</v>
      </c>
      <c r="D126" s="1" t="s">
        <v>26</v>
      </c>
      <c r="E126" s="2">
        <v>44606</v>
      </c>
      <c r="F126" s="1" t="s">
        <v>16</v>
      </c>
      <c r="G126" s="1" t="s">
        <v>38</v>
      </c>
      <c r="H126" s="5">
        <v>45900</v>
      </c>
      <c r="I126" s="1" t="s">
        <v>18</v>
      </c>
      <c r="J126" s="1">
        <v>37</v>
      </c>
      <c r="K126" s="1" t="s">
        <v>39</v>
      </c>
      <c r="L126" s="1">
        <v>16</v>
      </c>
      <c r="M126" s="1" t="s">
        <v>18</v>
      </c>
      <c r="N126" s="2">
        <f t="shared" ca="1" si="3"/>
        <v>46221</v>
      </c>
      <c r="O126" s="1" t="str">
        <f ca="1">DATEDIF(Employee_TableData[[#This Row],[Date of Join]],Employee_TableData[[#This Row],[Today''s Date]],"y") &amp; "years"</f>
        <v>4years</v>
      </c>
      <c r="P126" s="3" t="str">
        <f>(Employee_TableData[[#This Row],[Employee ID]] &amp; " | " &amp; (Employee_TableData[[#This Row],[Name]]))</f>
        <v>ADPT0125 | Kabir Shah</v>
      </c>
      <c r="Q126" s="3" t="str" cm="1">
        <f t="array" ref="Q12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26" s="3">
        <f>DAY(Employee_TableData[[#This Row],[Date of Join]])</f>
        <v>14</v>
      </c>
      <c r="S126" s="3" t="str">
        <f>TEXT(Employee_TableData[[#This Row],[Date of Join]],"mmm")</f>
        <v>Feb</v>
      </c>
      <c r="T126" s="3">
        <f>YEAR(Employee_TableData[[#This Row],[Date of Join]])</f>
        <v>2022</v>
      </c>
    </row>
    <row r="127" spans="1:20" ht="12.75" x14ac:dyDescent="0.2">
      <c r="A127" s="1" t="s">
        <v>314</v>
      </c>
      <c r="B127" s="1" t="s">
        <v>164</v>
      </c>
      <c r="C127" s="1" t="s">
        <v>21</v>
      </c>
      <c r="D127" s="1" t="s">
        <v>22</v>
      </c>
      <c r="E127" s="2">
        <v>44406</v>
      </c>
      <c r="F127" s="1" t="s">
        <v>16</v>
      </c>
      <c r="G127" s="1" t="s">
        <v>42</v>
      </c>
      <c r="H127" s="5">
        <v>45000</v>
      </c>
      <c r="I127" s="1" t="s">
        <v>18</v>
      </c>
      <c r="J127" s="1">
        <v>36</v>
      </c>
      <c r="K127" s="1" t="s">
        <v>39</v>
      </c>
      <c r="L127" s="1">
        <v>2</v>
      </c>
      <c r="M127" s="1" t="s">
        <v>24</v>
      </c>
      <c r="N127" s="2">
        <f t="shared" ca="1" si="3"/>
        <v>46221</v>
      </c>
      <c r="O127" s="1" t="str">
        <f ca="1">DATEDIF(Employee_TableData[[#This Row],[Date of Join]],Employee_TableData[[#This Row],[Today''s Date]],"y") &amp; "years"</f>
        <v>4years</v>
      </c>
      <c r="P127" s="3" t="str">
        <f>(Employee_TableData[[#This Row],[Employee ID]] &amp; " | " &amp; (Employee_TableData[[#This Row],[Name]]))</f>
        <v>ADPT0126 | Rhea Bhatia</v>
      </c>
      <c r="Q127" s="3" t="str" cm="1">
        <f t="array" ref="Q12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27" s="3">
        <f>DAY(Employee_TableData[[#This Row],[Date of Join]])</f>
        <v>29</v>
      </c>
      <c r="S127" s="3" t="str">
        <f>TEXT(Employee_TableData[[#This Row],[Date of Join]],"mmm")</f>
        <v>Jul</v>
      </c>
      <c r="T127" s="3">
        <f>YEAR(Employee_TableData[[#This Row],[Date of Join]])</f>
        <v>2021</v>
      </c>
    </row>
    <row r="128" spans="1:20" ht="12.75" x14ac:dyDescent="0.2">
      <c r="A128" s="1" t="s">
        <v>315</v>
      </c>
      <c r="B128" s="1" t="s">
        <v>165</v>
      </c>
      <c r="C128" s="1" t="s">
        <v>14</v>
      </c>
      <c r="D128" s="1" t="s">
        <v>15</v>
      </c>
      <c r="E128" s="2">
        <v>43425</v>
      </c>
      <c r="F128" s="1" t="s">
        <v>29</v>
      </c>
      <c r="G128" s="1" t="s">
        <v>27</v>
      </c>
      <c r="H128" s="5">
        <v>33100</v>
      </c>
      <c r="I128" s="1" t="s">
        <v>24</v>
      </c>
      <c r="J128" s="1">
        <v>34</v>
      </c>
      <c r="K128" s="1" t="s">
        <v>19</v>
      </c>
      <c r="L128" s="1">
        <v>9</v>
      </c>
      <c r="M128" s="1" t="s">
        <v>24</v>
      </c>
      <c r="N128" s="2">
        <f t="shared" ca="1" si="3"/>
        <v>46221</v>
      </c>
      <c r="O128" s="1" t="str">
        <f ca="1">DATEDIF(Employee_TableData[[#This Row],[Date of Join]],Employee_TableData[[#This Row],[Today''s Date]],"y") &amp; "years"</f>
        <v>7years</v>
      </c>
      <c r="P128" s="3" t="str">
        <f>(Employee_TableData[[#This Row],[Employee ID]] &amp; " | " &amp; (Employee_TableData[[#This Row],[Name]]))</f>
        <v>ADPT0127 | Advait Kumar</v>
      </c>
      <c r="Q128" s="3" t="str" cm="1">
        <f t="array" ref="Q12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28" s="3">
        <f>DAY(Employee_TableData[[#This Row],[Date of Join]])</f>
        <v>21</v>
      </c>
      <c r="S128" s="3" t="str">
        <f>TEXT(Employee_TableData[[#This Row],[Date of Join]],"mmm")</f>
        <v>Nov</v>
      </c>
      <c r="T128" s="3">
        <f>YEAR(Employee_TableData[[#This Row],[Date of Join]])</f>
        <v>2018</v>
      </c>
    </row>
    <row r="129" spans="1:20" ht="12.75" x14ac:dyDescent="0.2">
      <c r="A129" s="1" t="s">
        <v>316</v>
      </c>
      <c r="B129" s="1" t="s">
        <v>166</v>
      </c>
      <c r="C129" s="1" t="s">
        <v>14</v>
      </c>
      <c r="D129" s="1" t="s">
        <v>33</v>
      </c>
      <c r="E129" s="2">
        <v>42900</v>
      </c>
      <c r="F129" s="1" t="s">
        <v>58</v>
      </c>
      <c r="G129" s="1" t="s">
        <v>23</v>
      </c>
      <c r="H129" s="5">
        <v>37600</v>
      </c>
      <c r="I129" s="1" t="s">
        <v>24</v>
      </c>
      <c r="J129" s="1">
        <v>38</v>
      </c>
      <c r="K129" s="1" t="s">
        <v>39</v>
      </c>
      <c r="L129" s="1">
        <v>18</v>
      </c>
      <c r="M129" s="1" t="s">
        <v>18</v>
      </c>
      <c r="N129" s="2">
        <f t="shared" ca="1" si="3"/>
        <v>46221</v>
      </c>
      <c r="O129" s="1" t="str">
        <f ca="1">DATEDIF(Employee_TableData[[#This Row],[Date of Join]],Employee_TableData[[#This Row],[Today''s Date]],"y") &amp; "years"</f>
        <v>9years</v>
      </c>
      <c r="P129" s="3" t="str">
        <f>(Employee_TableData[[#This Row],[Employee ID]] &amp; " | " &amp; (Employee_TableData[[#This Row],[Name]]))</f>
        <v>ADPT0128 | Aarush Verma</v>
      </c>
      <c r="Q129" s="3" t="str" cm="1">
        <f t="array" ref="Q12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29" s="3">
        <f>DAY(Employee_TableData[[#This Row],[Date of Join]])</f>
        <v>14</v>
      </c>
      <c r="S129" s="3" t="str">
        <f>TEXT(Employee_TableData[[#This Row],[Date of Join]],"mmm")</f>
        <v>Jun</v>
      </c>
      <c r="T129" s="3">
        <f>YEAR(Employee_TableData[[#This Row],[Date of Join]])</f>
        <v>2017</v>
      </c>
    </row>
    <row r="130" spans="1:20" ht="12.75" x14ac:dyDescent="0.2">
      <c r="A130" s="1" t="s">
        <v>317</v>
      </c>
      <c r="B130" s="1" t="s">
        <v>167</v>
      </c>
      <c r="C130" s="1" t="s">
        <v>21</v>
      </c>
      <c r="D130" s="1" t="s">
        <v>26</v>
      </c>
      <c r="E130" s="2">
        <v>44933</v>
      </c>
      <c r="F130" s="1" t="s">
        <v>37</v>
      </c>
      <c r="G130" s="1" t="s">
        <v>44</v>
      </c>
      <c r="H130" s="5">
        <v>58300</v>
      </c>
      <c r="I130" s="1" t="s">
        <v>31</v>
      </c>
      <c r="J130" s="1">
        <v>29</v>
      </c>
      <c r="K130" s="1" t="s">
        <v>19</v>
      </c>
      <c r="L130" s="1">
        <v>16</v>
      </c>
      <c r="M130" s="1" t="s">
        <v>18</v>
      </c>
      <c r="N130" s="2">
        <f t="shared" ref="N130:N162" ca="1" si="4">TODAY()</f>
        <v>46221</v>
      </c>
      <c r="O130" s="1" t="str">
        <f ca="1">DATEDIF(Employee_TableData[[#This Row],[Date of Join]],Employee_TableData[[#This Row],[Today''s Date]],"y") &amp; "years"</f>
        <v>3years</v>
      </c>
      <c r="P130" s="3" t="str">
        <f>(Employee_TableData[[#This Row],[Employee ID]] &amp; " | " &amp; (Employee_TableData[[#This Row],[Name]]))</f>
        <v>ADPT0129 | Anika Singh</v>
      </c>
      <c r="Q130" s="3" t="str" cm="1">
        <f t="array" ref="Q13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30" s="3">
        <f>DAY(Employee_TableData[[#This Row],[Date of Join]])</f>
        <v>7</v>
      </c>
      <c r="S130" s="3" t="str">
        <f>TEXT(Employee_TableData[[#This Row],[Date of Join]],"mmm")</f>
        <v>Jan</v>
      </c>
      <c r="T130" s="3">
        <f>YEAR(Employee_TableData[[#This Row],[Date of Join]])</f>
        <v>2023</v>
      </c>
    </row>
    <row r="131" spans="1:20" ht="12.75" x14ac:dyDescent="0.2">
      <c r="A131" s="1" t="s">
        <v>318</v>
      </c>
      <c r="B131" s="1" t="s">
        <v>168</v>
      </c>
      <c r="C131" s="1" t="s">
        <v>21</v>
      </c>
      <c r="D131" s="1" t="s">
        <v>22</v>
      </c>
      <c r="E131" s="2">
        <v>44042</v>
      </c>
      <c r="F131" s="1" t="s">
        <v>16</v>
      </c>
      <c r="G131" s="1" t="s">
        <v>46</v>
      </c>
      <c r="H131" s="5">
        <v>83900</v>
      </c>
      <c r="I131" s="1" t="s">
        <v>35</v>
      </c>
      <c r="J131" s="1">
        <v>31</v>
      </c>
      <c r="K131" s="1" t="s">
        <v>19</v>
      </c>
      <c r="L131" s="1">
        <v>14</v>
      </c>
      <c r="M131" s="1" t="s">
        <v>18</v>
      </c>
      <c r="N131" s="2">
        <f t="shared" ca="1" si="4"/>
        <v>46221</v>
      </c>
      <c r="O131" s="1" t="str">
        <f ca="1">DATEDIF(Employee_TableData[[#This Row],[Date of Join]],Employee_TableData[[#This Row],[Today''s Date]],"y") &amp; "years"</f>
        <v>5years</v>
      </c>
      <c r="P131" s="3" t="str">
        <f>(Employee_TableData[[#This Row],[Employee ID]] &amp; " | " &amp; (Employee_TableData[[#This Row],[Name]]))</f>
        <v>ADPT0130 | Zara Chawla</v>
      </c>
      <c r="Q131" s="3" t="str" cm="1">
        <f t="array" ref="Q13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31" s="3">
        <f>DAY(Employee_TableData[[#This Row],[Date of Join]])</f>
        <v>30</v>
      </c>
      <c r="S131" s="3" t="str">
        <f>TEXT(Employee_TableData[[#This Row],[Date of Join]],"mmm")</f>
        <v>Jul</v>
      </c>
      <c r="T131" s="3">
        <f>YEAR(Employee_TableData[[#This Row],[Date of Join]])</f>
        <v>2020</v>
      </c>
    </row>
    <row r="132" spans="1:20" ht="12.75" x14ac:dyDescent="0.2">
      <c r="A132" s="1" t="s">
        <v>319</v>
      </c>
      <c r="B132" s="1" t="s">
        <v>133</v>
      </c>
      <c r="C132" s="1" t="s">
        <v>14</v>
      </c>
      <c r="D132" s="1" t="s">
        <v>15</v>
      </c>
      <c r="E132" s="2">
        <v>43822</v>
      </c>
      <c r="F132" s="1" t="s">
        <v>29</v>
      </c>
      <c r="G132" s="1" t="s">
        <v>17</v>
      </c>
      <c r="H132" s="5">
        <v>51100</v>
      </c>
      <c r="I132" s="1" t="s">
        <v>18</v>
      </c>
      <c r="J132" s="1">
        <v>34</v>
      </c>
      <c r="K132" s="1" t="s">
        <v>19</v>
      </c>
      <c r="L132" s="1">
        <v>16</v>
      </c>
      <c r="M132" s="1" t="s">
        <v>18</v>
      </c>
      <c r="N132" s="2">
        <f t="shared" ca="1" si="4"/>
        <v>46221</v>
      </c>
      <c r="O132" s="1" t="str">
        <f ca="1">DATEDIF(Employee_TableData[[#This Row],[Date of Join]],Employee_TableData[[#This Row],[Today''s Date]],"y") &amp; "years"</f>
        <v>6years</v>
      </c>
      <c r="P132" s="3" t="str">
        <f>(Employee_TableData[[#This Row],[Employee ID]] &amp; " | " &amp; (Employee_TableData[[#This Row],[Name]]))</f>
        <v>ADPT0131 | Dev Joshi</v>
      </c>
      <c r="Q132" s="3" t="str" cm="1">
        <f t="array" ref="Q13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32" s="3">
        <f>DAY(Employee_TableData[[#This Row],[Date of Join]])</f>
        <v>23</v>
      </c>
      <c r="S132" s="3" t="str">
        <f>TEXT(Employee_TableData[[#This Row],[Date of Join]],"mmm")</f>
        <v>Dec</v>
      </c>
      <c r="T132" s="3">
        <f>YEAR(Employee_TableData[[#This Row],[Date of Join]])</f>
        <v>2019</v>
      </c>
    </row>
    <row r="133" spans="1:20" ht="12.75" x14ac:dyDescent="0.2">
      <c r="A133" s="1" t="s">
        <v>320</v>
      </c>
      <c r="B133" s="1" t="s">
        <v>169</v>
      </c>
      <c r="C133" s="1" t="s">
        <v>21</v>
      </c>
      <c r="D133" s="1" t="s">
        <v>33</v>
      </c>
      <c r="E133" s="2">
        <v>43359</v>
      </c>
      <c r="F133" s="1" t="s">
        <v>29</v>
      </c>
      <c r="G133" s="1" t="s">
        <v>30</v>
      </c>
      <c r="H133" s="5">
        <v>62900</v>
      </c>
      <c r="I133" s="1" t="s">
        <v>31</v>
      </c>
      <c r="J133" s="1">
        <v>37</v>
      </c>
      <c r="K133" s="1" t="s">
        <v>39</v>
      </c>
      <c r="L133" s="1">
        <v>15</v>
      </c>
      <c r="M133" s="1" t="s">
        <v>18</v>
      </c>
      <c r="N133" s="2">
        <f t="shared" ca="1" si="4"/>
        <v>46221</v>
      </c>
      <c r="O133" s="1" t="str">
        <f ca="1">DATEDIF(Employee_TableData[[#This Row],[Date of Join]],Employee_TableData[[#This Row],[Today''s Date]],"y") &amp; "years"</f>
        <v>7years</v>
      </c>
      <c r="P133" s="3" t="str">
        <f>(Employee_TableData[[#This Row],[Employee ID]] &amp; " | " &amp; (Employee_TableData[[#This Row],[Name]]))</f>
        <v>ADPT0132 | Pari Gupta</v>
      </c>
      <c r="Q133" s="3" t="str" cm="1">
        <f t="array" ref="Q13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33" s="3">
        <f>DAY(Employee_TableData[[#This Row],[Date of Join]])</f>
        <v>16</v>
      </c>
      <c r="S133" s="3" t="str">
        <f>TEXT(Employee_TableData[[#This Row],[Date of Join]],"mmm")</f>
        <v>Sept</v>
      </c>
      <c r="T133" s="3">
        <f>YEAR(Employee_TableData[[#This Row],[Date of Join]])</f>
        <v>2018</v>
      </c>
    </row>
    <row r="134" spans="1:20" ht="12.75" x14ac:dyDescent="0.2">
      <c r="A134" s="1" t="s">
        <v>321</v>
      </c>
      <c r="B134" s="1" t="s">
        <v>170</v>
      </c>
      <c r="C134" s="1" t="s">
        <v>21</v>
      </c>
      <c r="D134" s="1" t="s">
        <v>26</v>
      </c>
      <c r="E134" s="2">
        <v>44599</v>
      </c>
      <c r="F134" s="1" t="s">
        <v>16</v>
      </c>
      <c r="G134" s="1" t="s">
        <v>34</v>
      </c>
      <c r="H134" s="5">
        <v>79200</v>
      </c>
      <c r="I134" s="1" t="s">
        <v>35</v>
      </c>
      <c r="J134" s="1">
        <v>31</v>
      </c>
      <c r="K134" s="1" t="s">
        <v>19</v>
      </c>
      <c r="L134" s="1">
        <v>14</v>
      </c>
      <c r="M134" s="1" t="s">
        <v>18</v>
      </c>
      <c r="N134" s="2">
        <f t="shared" ca="1" si="4"/>
        <v>46221</v>
      </c>
      <c r="O134" s="1" t="str">
        <f ca="1">DATEDIF(Employee_TableData[[#This Row],[Date of Join]],Employee_TableData[[#This Row],[Today''s Date]],"y") &amp; "years"</f>
        <v>4years</v>
      </c>
      <c r="P134" s="3" t="str">
        <f>(Employee_TableData[[#This Row],[Employee ID]] &amp; " | " &amp; (Employee_TableData[[#This Row],[Name]]))</f>
        <v>ADPT0133 | Aanya Trivedi</v>
      </c>
      <c r="Q134" s="3" t="str" cm="1">
        <f t="array" ref="Q13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34" s="3">
        <f>DAY(Employee_TableData[[#This Row],[Date of Join]])</f>
        <v>7</v>
      </c>
      <c r="S134" s="3" t="str">
        <f>TEXT(Employee_TableData[[#This Row],[Date of Join]],"mmm")</f>
        <v>Feb</v>
      </c>
      <c r="T134" s="3">
        <f>YEAR(Employee_TableData[[#This Row],[Date of Join]])</f>
        <v>2022</v>
      </c>
    </row>
    <row r="135" spans="1:20" ht="12.75" x14ac:dyDescent="0.2">
      <c r="A135" s="1" t="s">
        <v>322</v>
      </c>
      <c r="B135" s="1" t="s">
        <v>171</v>
      </c>
      <c r="C135" s="1" t="s">
        <v>21</v>
      </c>
      <c r="D135" s="1" t="s">
        <v>22</v>
      </c>
      <c r="E135" s="2">
        <v>44369</v>
      </c>
      <c r="F135" s="1" t="s">
        <v>16</v>
      </c>
      <c r="G135" s="1" t="s">
        <v>38</v>
      </c>
      <c r="H135" s="5">
        <v>47000</v>
      </c>
      <c r="I135" s="1" t="s">
        <v>18</v>
      </c>
      <c r="J135" s="1">
        <v>32</v>
      </c>
      <c r="K135" s="1" t="s">
        <v>19</v>
      </c>
      <c r="L135" s="1">
        <v>22</v>
      </c>
      <c r="M135" s="1" t="s">
        <v>31</v>
      </c>
      <c r="N135" s="2">
        <f t="shared" ca="1" si="4"/>
        <v>46221</v>
      </c>
      <c r="O135" s="1" t="str">
        <f ca="1">DATEDIF(Employee_TableData[[#This Row],[Date of Join]],Employee_TableData[[#This Row],[Today''s Date]],"y") &amp; "years"</f>
        <v>5years</v>
      </c>
      <c r="P135" s="3" t="str">
        <f>(Employee_TableData[[#This Row],[Employee ID]] &amp; " | " &amp; (Employee_TableData[[#This Row],[Name]]))</f>
        <v>ADPT0134 | Kiara Bhatia</v>
      </c>
      <c r="Q135" s="3" t="str" cm="1">
        <f t="array" ref="Q13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35" s="3">
        <f>DAY(Employee_TableData[[#This Row],[Date of Join]])</f>
        <v>22</v>
      </c>
      <c r="S135" s="3" t="str">
        <f>TEXT(Employee_TableData[[#This Row],[Date of Join]],"mmm")</f>
        <v>Jun</v>
      </c>
      <c r="T135" s="3">
        <f>YEAR(Employee_TableData[[#This Row],[Date of Join]])</f>
        <v>2021</v>
      </c>
    </row>
    <row r="136" spans="1:20" ht="12.75" x14ac:dyDescent="0.2">
      <c r="A136" s="1" t="s">
        <v>323</v>
      </c>
      <c r="B136" s="1" t="s">
        <v>172</v>
      </c>
      <c r="C136" s="1" t="s">
        <v>14</v>
      </c>
      <c r="D136" s="1" t="s">
        <v>15</v>
      </c>
      <c r="E136" s="2">
        <v>44089</v>
      </c>
      <c r="F136" s="1" t="s">
        <v>16</v>
      </c>
      <c r="G136" s="1" t="s">
        <v>42</v>
      </c>
      <c r="H136" s="5">
        <v>42400</v>
      </c>
      <c r="I136" s="1" t="s">
        <v>18</v>
      </c>
      <c r="J136" s="1">
        <v>66</v>
      </c>
      <c r="K136" s="1" t="s">
        <v>173</v>
      </c>
      <c r="L136" s="1">
        <v>19</v>
      </c>
      <c r="M136" s="1" t="s">
        <v>18</v>
      </c>
      <c r="N136" s="2">
        <f t="shared" ca="1" si="4"/>
        <v>46221</v>
      </c>
      <c r="O136" s="1" t="str">
        <f ca="1">DATEDIF(Employee_TableData[[#This Row],[Date of Join]],Employee_TableData[[#This Row],[Today''s Date]],"y") &amp; "years"</f>
        <v>5years</v>
      </c>
      <c r="P136" s="3" t="str">
        <f>(Employee_TableData[[#This Row],[Employee ID]] &amp; " | " &amp; (Employee_TableData[[#This Row],[Name]]))</f>
        <v>ADPT0135 | Reyansh Rana</v>
      </c>
      <c r="Q136" s="3" t="str" cm="1">
        <f t="array" ref="Q13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36" s="3">
        <f>DAY(Employee_TableData[[#This Row],[Date of Join]])</f>
        <v>15</v>
      </c>
      <c r="S136" s="3" t="str">
        <f>TEXT(Employee_TableData[[#This Row],[Date of Join]],"mmm")</f>
        <v>Sept</v>
      </c>
      <c r="T136" s="3">
        <f>YEAR(Employee_TableData[[#This Row],[Date of Join]])</f>
        <v>2020</v>
      </c>
    </row>
    <row r="137" spans="1:20" ht="12.75" x14ac:dyDescent="0.2">
      <c r="A137" s="1" t="s">
        <v>324</v>
      </c>
      <c r="B137" s="1" t="s">
        <v>174</v>
      </c>
      <c r="C137" s="1" t="s">
        <v>21</v>
      </c>
      <c r="D137" s="1" t="s">
        <v>26</v>
      </c>
      <c r="E137" s="2">
        <v>43797</v>
      </c>
      <c r="F137" s="1" t="s">
        <v>29</v>
      </c>
      <c r="G137" s="1" t="s">
        <v>27</v>
      </c>
      <c r="H137" s="5">
        <v>33800</v>
      </c>
      <c r="I137" s="1" t="s">
        <v>24</v>
      </c>
      <c r="J137" s="1">
        <v>67</v>
      </c>
      <c r="K137" s="1" t="s">
        <v>173</v>
      </c>
      <c r="L137" s="1">
        <v>8</v>
      </c>
      <c r="M137" s="1" t="s">
        <v>24</v>
      </c>
      <c r="N137" s="2">
        <f t="shared" ca="1" si="4"/>
        <v>46221</v>
      </c>
      <c r="O137" s="1" t="str">
        <f ca="1">DATEDIF(Employee_TableData[[#This Row],[Date of Join]],Employee_TableData[[#This Row],[Today''s Date]],"y") &amp; "years"</f>
        <v>6years</v>
      </c>
      <c r="P137" s="3" t="str">
        <f>(Employee_TableData[[#This Row],[Employee ID]] &amp; " | " &amp; (Employee_TableData[[#This Row],[Name]]))</f>
        <v>ADPT0136 | Lindt Truffle</v>
      </c>
      <c r="Q137" s="3" t="str" cm="1">
        <f t="array" ref="Q13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37" s="3">
        <f>DAY(Employee_TableData[[#This Row],[Date of Join]])</f>
        <v>28</v>
      </c>
      <c r="S137" s="3" t="str">
        <f>TEXT(Employee_TableData[[#This Row],[Date of Join]],"mmm")</f>
        <v>Nov</v>
      </c>
      <c r="T137" s="3">
        <f>YEAR(Employee_TableData[[#This Row],[Date of Join]])</f>
        <v>2019</v>
      </c>
    </row>
    <row r="138" spans="1:20" ht="12.75" x14ac:dyDescent="0.2">
      <c r="A138" s="1" t="s">
        <v>325</v>
      </c>
      <c r="B138" s="1" t="s">
        <v>175</v>
      </c>
      <c r="C138" s="1" t="s">
        <v>21</v>
      </c>
      <c r="D138" s="1" t="s">
        <v>22</v>
      </c>
      <c r="E138" s="2">
        <v>44938</v>
      </c>
      <c r="F138" s="1" t="s">
        <v>37</v>
      </c>
      <c r="G138" s="1" t="s">
        <v>23</v>
      </c>
      <c r="H138" s="5">
        <v>36000</v>
      </c>
      <c r="I138" s="1" t="s">
        <v>24</v>
      </c>
      <c r="J138" s="1">
        <v>31</v>
      </c>
      <c r="K138" s="1" t="s">
        <v>19</v>
      </c>
      <c r="L138" s="1">
        <v>18</v>
      </c>
      <c r="M138" s="1" t="s">
        <v>18</v>
      </c>
      <c r="N138" s="2">
        <f t="shared" ca="1" si="4"/>
        <v>46221</v>
      </c>
      <c r="O138" s="1" t="str">
        <f ca="1">DATEDIF(Employee_TableData[[#This Row],[Date of Join]],Employee_TableData[[#This Row],[Today''s Date]],"y") &amp; "years"</f>
        <v>3years</v>
      </c>
      <c r="P138" s="3" t="str">
        <f>(Employee_TableData[[#This Row],[Employee ID]] &amp; " | " &amp; (Employee_TableData[[#This Row],[Name]]))</f>
        <v>ADPT0137 | Avani Iyer</v>
      </c>
      <c r="Q138" s="3" t="str" cm="1">
        <f t="array" ref="Q13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38" s="3">
        <f>DAY(Employee_TableData[[#This Row],[Date of Join]])</f>
        <v>12</v>
      </c>
      <c r="S138" s="3" t="str">
        <f>TEXT(Employee_TableData[[#This Row],[Date of Join]],"mmm")</f>
        <v>Jan</v>
      </c>
      <c r="T138" s="3">
        <f>YEAR(Employee_TableData[[#This Row],[Date of Join]])</f>
        <v>2023</v>
      </c>
    </row>
    <row r="139" spans="1:20" ht="12.75" x14ac:dyDescent="0.2">
      <c r="A139" s="1" t="s">
        <v>326</v>
      </c>
      <c r="B139" s="1" t="s">
        <v>176</v>
      </c>
      <c r="C139" s="1" t="s">
        <v>14</v>
      </c>
      <c r="D139" s="1" t="s">
        <v>15</v>
      </c>
      <c r="E139" s="2">
        <v>44321</v>
      </c>
      <c r="F139" s="1" t="s">
        <v>16</v>
      </c>
      <c r="G139" s="1" t="s">
        <v>44</v>
      </c>
      <c r="H139" s="5">
        <v>58500</v>
      </c>
      <c r="I139" s="1" t="s">
        <v>31</v>
      </c>
      <c r="J139" s="1">
        <v>31</v>
      </c>
      <c r="K139" s="1" t="s">
        <v>19</v>
      </c>
      <c r="L139" s="1">
        <v>23</v>
      </c>
      <c r="M139" s="1" t="s">
        <v>31</v>
      </c>
      <c r="N139" s="2">
        <f t="shared" ca="1" si="4"/>
        <v>46221</v>
      </c>
      <c r="O139" s="1" t="str">
        <f ca="1">DATEDIF(Employee_TableData[[#This Row],[Date of Join]],Employee_TableData[[#This Row],[Today''s Date]],"y") &amp; "years"</f>
        <v>5years</v>
      </c>
      <c r="P139" s="3" t="str">
        <f>(Employee_TableData[[#This Row],[Employee ID]] &amp; " | " &amp; (Employee_TableData[[#This Row],[Name]]))</f>
        <v>ADPT0138 | Kiaan Shah</v>
      </c>
      <c r="Q139" s="3" t="str" cm="1">
        <f t="array" ref="Q13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39" s="3">
        <f>DAY(Employee_TableData[[#This Row],[Date of Join]])</f>
        <v>5</v>
      </c>
      <c r="S139" s="3" t="str">
        <f>TEXT(Employee_TableData[[#This Row],[Date of Join]],"mmm")</f>
        <v>May</v>
      </c>
      <c r="T139" s="3">
        <f>YEAR(Employee_TableData[[#This Row],[Date of Join]])</f>
        <v>2021</v>
      </c>
    </row>
    <row r="140" spans="1:20" ht="12.75" x14ac:dyDescent="0.2">
      <c r="A140" s="1" t="s">
        <v>327</v>
      </c>
      <c r="B140" s="1" t="s">
        <v>177</v>
      </c>
      <c r="C140" s="1" t="s">
        <v>14</v>
      </c>
      <c r="D140" s="1" t="s">
        <v>33</v>
      </c>
      <c r="E140" s="2">
        <v>43371</v>
      </c>
      <c r="F140" s="1" t="s">
        <v>29</v>
      </c>
      <c r="G140" s="1" t="s">
        <v>46</v>
      </c>
      <c r="H140" s="5">
        <v>83200</v>
      </c>
      <c r="I140" s="1" t="s">
        <v>35</v>
      </c>
      <c r="J140" s="1">
        <v>32</v>
      </c>
      <c r="K140" s="1" t="s">
        <v>19</v>
      </c>
      <c r="L140" s="1">
        <v>9</v>
      </c>
      <c r="M140" s="1" t="s">
        <v>24</v>
      </c>
      <c r="N140" s="2">
        <f t="shared" ca="1" si="4"/>
        <v>46221</v>
      </c>
      <c r="O140" s="1" t="str">
        <f ca="1">DATEDIF(Employee_TableData[[#This Row],[Date of Join]],Employee_TableData[[#This Row],[Today''s Date]],"y") &amp; "years"</f>
        <v>7years</v>
      </c>
      <c r="P140" s="3" t="str">
        <f>(Employee_TableData[[#This Row],[Employee ID]] &amp; " | " &amp; (Employee_TableData[[#This Row],[Name]]))</f>
        <v>ADPT0139 | Oreo Delight</v>
      </c>
      <c r="Q140" s="3" t="str" cm="1">
        <f t="array" ref="Q14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0" s="3">
        <f>DAY(Employee_TableData[[#This Row],[Date of Join]])</f>
        <v>28</v>
      </c>
      <c r="S140" s="3" t="str">
        <f>TEXT(Employee_TableData[[#This Row],[Date of Join]],"mmm")</f>
        <v>Sept</v>
      </c>
      <c r="T140" s="3">
        <f>YEAR(Employee_TableData[[#This Row],[Date of Join]])</f>
        <v>2018</v>
      </c>
    </row>
    <row r="141" spans="1:20" ht="12.75" x14ac:dyDescent="0.2">
      <c r="A141" s="1" t="s">
        <v>328</v>
      </c>
      <c r="B141" s="1" t="s">
        <v>178</v>
      </c>
      <c r="C141" s="1" t="s">
        <v>21</v>
      </c>
      <c r="D141" s="1" t="s">
        <v>26</v>
      </c>
      <c r="E141" s="2">
        <v>44692</v>
      </c>
      <c r="F141" s="1" t="s">
        <v>16</v>
      </c>
      <c r="G141" s="1" t="s">
        <v>17</v>
      </c>
      <c r="H141" s="5">
        <v>51100</v>
      </c>
      <c r="I141" s="1" t="s">
        <v>18</v>
      </c>
      <c r="J141" s="1">
        <v>32</v>
      </c>
      <c r="K141" s="1" t="s">
        <v>19</v>
      </c>
      <c r="L141" s="1">
        <v>10</v>
      </c>
      <c r="M141" s="1" t="s">
        <v>24</v>
      </c>
      <c r="N141" s="2">
        <f t="shared" ca="1" si="4"/>
        <v>46221</v>
      </c>
      <c r="O141" s="1" t="str">
        <f ca="1">DATEDIF(Employee_TableData[[#This Row],[Date of Join]],Employee_TableData[[#This Row],[Today''s Date]],"y") &amp; "years"</f>
        <v>4years</v>
      </c>
      <c r="P141" s="3" t="str">
        <f>(Employee_TableData[[#This Row],[Employee ID]] &amp; " | " &amp; (Employee_TableData[[#This Row],[Name]]))</f>
        <v>ADPT0140 | Anaya Agarwal</v>
      </c>
      <c r="Q141" s="3" t="str" cm="1">
        <f t="array" ref="Q14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1" s="3">
        <f>DAY(Employee_TableData[[#This Row],[Date of Join]])</f>
        <v>11</v>
      </c>
      <c r="S141" s="3" t="str">
        <f>TEXT(Employee_TableData[[#This Row],[Date of Join]],"mmm")</f>
        <v>May</v>
      </c>
      <c r="T141" s="3">
        <f>YEAR(Employee_TableData[[#This Row],[Date of Join]])</f>
        <v>2022</v>
      </c>
    </row>
    <row r="142" spans="1:20" ht="12.75" x14ac:dyDescent="0.2">
      <c r="A142" s="1" t="s">
        <v>329</v>
      </c>
      <c r="B142" s="1" t="s">
        <v>179</v>
      </c>
      <c r="C142" s="1" t="s">
        <v>14</v>
      </c>
      <c r="D142" s="1" t="s">
        <v>22</v>
      </c>
      <c r="E142" s="2">
        <v>44463</v>
      </c>
      <c r="F142" s="1" t="s">
        <v>16</v>
      </c>
      <c r="G142" s="1" t="s">
        <v>51</v>
      </c>
      <c r="H142" s="5">
        <v>73200</v>
      </c>
      <c r="I142" s="1" t="s">
        <v>35</v>
      </c>
      <c r="J142" s="1">
        <v>31</v>
      </c>
      <c r="K142" s="1" t="s">
        <v>19</v>
      </c>
      <c r="L142" s="1">
        <v>12</v>
      </c>
      <c r="M142" s="1" t="s">
        <v>18</v>
      </c>
      <c r="N142" s="2">
        <f t="shared" ca="1" si="4"/>
        <v>46221</v>
      </c>
      <c r="O142" s="1" t="str">
        <f ca="1">DATEDIF(Employee_TableData[[#This Row],[Date of Join]],Employee_TableData[[#This Row],[Today''s Date]],"y") &amp; "years"</f>
        <v>4years</v>
      </c>
      <c r="P142" s="3" t="str">
        <f>(Employee_TableData[[#This Row],[Employee ID]] &amp; " | " &amp; (Employee_TableData[[#This Row],[Name]]))</f>
        <v>ADPT0141 | Krish Rawat</v>
      </c>
      <c r="Q142" s="3" t="str" cm="1">
        <f t="array" ref="Q14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2" s="3">
        <f>DAY(Employee_TableData[[#This Row],[Date of Join]])</f>
        <v>24</v>
      </c>
      <c r="S142" s="3" t="str">
        <f>TEXT(Employee_TableData[[#This Row],[Date of Join]],"mmm")</f>
        <v>Sept</v>
      </c>
      <c r="T142" s="3">
        <f>YEAR(Employee_TableData[[#This Row],[Date of Join]])</f>
        <v>2021</v>
      </c>
    </row>
    <row r="143" spans="1:20" ht="12.75" x14ac:dyDescent="0.2">
      <c r="A143" s="1" t="s">
        <v>330</v>
      </c>
      <c r="B143" s="1" t="s">
        <v>180</v>
      </c>
      <c r="C143" s="1" t="s">
        <v>21</v>
      </c>
      <c r="D143" s="1" t="s">
        <v>15</v>
      </c>
      <c r="E143" s="2">
        <v>44182</v>
      </c>
      <c r="F143" s="1" t="s">
        <v>16</v>
      </c>
      <c r="G143" s="1" t="s">
        <v>34</v>
      </c>
      <c r="H143" s="5">
        <v>77800</v>
      </c>
      <c r="I143" s="1" t="s">
        <v>35</v>
      </c>
      <c r="J143" s="1">
        <v>29</v>
      </c>
      <c r="K143" s="1" t="s">
        <v>19</v>
      </c>
      <c r="L143" s="1">
        <v>6</v>
      </c>
      <c r="M143" s="1" t="s">
        <v>24</v>
      </c>
      <c r="N143" s="2">
        <f t="shared" ca="1" si="4"/>
        <v>46221</v>
      </c>
      <c r="O143" s="1" t="str">
        <f ca="1">DATEDIF(Employee_TableData[[#This Row],[Date of Join]],Employee_TableData[[#This Row],[Today''s Date]],"y") &amp; "years"</f>
        <v>5years</v>
      </c>
      <c r="P143" s="3" t="str">
        <f>(Employee_TableData[[#This Row],[Employee ID]] &amp; " | " &amp; (Employee_TableData[[#This Row],[Name]]))</f>
        <v>ADPT0142 | Siya Sharma</v>
      </c>
      <c r="Q143" s="3" t="str" cm="1">
        <f t="array" ref="Q14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3" s="3">
        <f>DAY(Employee_TableData[[#This Row],[Date of Join]])</f>
        <v>17</v>
      </c>
      <c r="S143" s="3" t="str">
        <f>TEXT(Employee_TableData[[#This Row],[Date of Join]],"mmm")</f>
        <v>Dec</v>
      </c>
      <c r="T143" s="3">
        <f>YEAR(Employee_TableData[[#This Row],[Date of Join]])</f>
        <v>2020</v>
      </c>
    </row>
    <row r="144" spans="1:20" ht="12.75" x14ac:dyDescent="0.2">
      <c r="A144" s="1" t="s">
        <v>331</v>
      </c>
      <c r="B144" s="1" t="s">
        <v>181</v>
      </c>
      <c r="C144" s="1" t="s">
        <v>14</v>
      </c>
      <c r="D144" s="1" t="s">
        <v>26</v>
      </c>
      <c r="E144" s="2">
        <v>44965</v>
      </c>
      <c r="F144" s="1" t="s">
        <v>37</v>
      </c>
      <c r="G144" s="1" t="s">
        <v>38</v>
      </c>
      <c r="H144" s="5">
        <v>45500</v>
      </c>
      <c r="I144" s="1" t="s">
        <v>18</v>
      </c>
      <c r="J144" s="1">
        <v>36</v>
      </c>
      <c r="K144" s="1" t="s">
        <v>39</v>
      </c>
      <c r="L144" s="1">
        <v>20</v>
      </c>
      <c r="M144" s="1" t="s">
        <v>18</v>
      </c>
      <c r="N144" s="2">
        <f t="shared" ca="1" si="4"/>
        <v>46221</v>
      </c>
      <c r="O144" s="1" t="str">
        <f ca="1">DATEDIF(Employee_TableData[[#This Row],[Date of Join]],Employee_TableData[[#This Row],[Today''s Date]],"y") &amp; "years"</f>
        <v>3years</v>
      </c>
      <c r="P144" s="3" t="str">
        <f>(Employee_TableData[[#This Row],[Employee ID]] &amp; " | " &amp; (Employee_TableData[[#This Row],[Name]]))</f>
        <v>ADPT0143 | Kabir Trivedi</v>
      </c>
      <c r="Q144" s="3" t="str" cm="1">
        <f t="array" ref="Q14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44" s="3">
        <f>DAY(Employee_TableData[[#This Row],[Date of Join]])</f>
        <v>8</v>
      </c>
      <c r="S144" s="3" t="str">
        <f>TEXT(Employee_TableData[[#This Row],[Date of Join]],"mmm")</f>
        <v>Feb</v>
      </c>
      <c r="T144" s="3">
        <f>YEAR(Employee_TableData[[#This Row],[Date of Join]])</f>
        <v>2023</v>
      </c>
    </row>
    <row r="145" spans="1:20" ht="12.75" x14ac:dyDescent="0.2">
      <c r="A145" s="1" t="s">
        <v>332</v>
      </c>
      <c r="B145" s="1" t="s">
        <v>182</v>
      </c>
      <c r="C145" s="1" t="s">
        <v>21</v>
      </c>
      <c r="D145" s="1" t="s">
        <v>22</v>
      </c>
      <c r="E145" s="2">
        <v>44401</v>
      </c>
      <c r="F145" s="1" t="s">
        <v>16</v>
      </c>
      <c r="G145" s="1" t="s">
        <v>42</v>
      </c>
      <c r="H145" s="5">
        <v>41800</v>
      </c>
      <c r="I145" s="1" t="s">
        <v>18</v>
      </c>
      <c r="J145" s="1">
        <v>31</v>
      </c>
      <c r="K145" s="1" t="s">
        <v>19</v>
      </c>
      <c r="L145" s="1">
        <v>18</v>
      </c>
      <c r="M145" s="1" t="s">
        <v>18</v>
      </c>
      <c r="N145" s="2">
        <f t="shared" ca="1" si="4"/>
        <v>46221</v>
      </c>
      <c r="O145" s="1" t="str">
        <f ca="1">DATEDIF(Employee_TableData[[#This Row],[Date of Join]],Employee_TableData[[#This Row],[Today''s Date]],"y") &amp; "years"</f>
        <v>4years</v>
      </c>
      <c r="P145" s="3" t="str">
        <f>(Employee_TableData[[#This Row],[Employee ID]] &amp; " | " &amp; (Employee_TableData[[#This Row],[Name]]))</f>
        <v>ADPT0144 | Rhea Malhotra</v>
      </c>
      <c r="Q145" s="3" t="str" cm="1">
        <f t="array" ref="Q14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5" s="3">
        <f>DAY(Employee_TableData[[#This Row],[Date of Join]])</f>
        <v>24</v>
      </c>
      <c r="S145" s="3" t="str">
        <f>TEXT(Employee_TableData[[#This Row],[Date of Join]],"mmm")</f>
        <v>Jul</v>
      </c>
      <c r="T145" s="3">
        <f>YEAR(Employee_TableData[[#This Row],[Date of Join]])</f>
        <v>2021</v>
      </c>
    </row>
    <row r="146" spans="1:20" ht="12.75" x14ac:dyDescent="0.2">
      <c r="A146" s="1" t="s">
        <v>333</v>
      </c>
      <c r="B146" s="1" t="s">
        <v>183</v>
      </c>
      <c r="C146" s="1" t="s">
        <v>14</v>
      </c>
      <c r="D146" s="1" t="s">
        <v>15</v>
      </c>
      <c r="E146" s="2">
        <v>43786</v>
      </c>
      <c r="F146" s="1" t="s">
        <v>29</v>
      </c>
      <c r="G146" s="1" t="s">
        <v>27</v>
      </c>
      <c r="H146" s="5">
        <v>32600</v>
      </c>
      <c r="I146" s="1" t="s">
        <v>24</v>
      </c>
      <c r="J146" s="1">
        <v>29</v>
      </c>
      <c r="K146" s="1" t="s">
        <v>19</v>
      </c>
      <c r="L146" s="1">
        <v>37</v>
      </c>
      <c r="M146" s="1" t="s">
        <v>35</v>
      </c>
      <c r="N146" s="2">
        <f t="shared" ca="1" si="4"/>
        <v>46221</v>
      </c>
      <c r="O146" s="1" t="str">
        <f ca="1">DATEDIF(Employee_TableData[[#This Row],[Date of Join]],Employee_TableData[[#This Row],[Today''s Date]],"y") &amp; "years"</f>
        <v>6years</v>
      </c>
      <c r="P146" s="3" t="str">
        <f>(Employee_TableData[[#This Row],[Employee ID]] &amp; " | " &amp; (Employee_TableData[[#This Row],[Name]]))</f>
        <v>ADPT0145 | Advait Kapoor</v>
      </c>
      <c r="Q146" s="3" t="str" cm="1">
        <f t="array" ref="Q14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46" s="3">
        <f>DAY(Employee_TableData[[#This Row],[Date of Join]])</f>
        <v>17</v>
      </c>
      <c r="S146" s="3" t="str">
        <f>TEXT(Employee_TableData[[#This Row],[Date of Join]],"mmm")</f>
        <v>Nov</v>
      </c>
      <c r="T146" s="3">
        <f>YEAR(Employee_TableData[[#This Row],[Date of Join]])</f>
        <v>2019</v>
      </c>
    </row>
    <row r="147" spans="1:20" ht="12.75" x14ac:dyDescent="0.2">
      <c r="A147" s="1" t="s">
        <v>334</v>
      </c>
      <c r="B147" s="1" t="s">
        <v>184</v>
      </c>
      <c r="C147" s="1" t="s">
        <v>14</v>
      </c>
      <c r="D147" s="1" t="s">
        <v>33</v>
      </c>
      <c r="E147" s="2">
        <v>43383</v>
      </c>
      <c r="F147" s="1" t="s">
        <v>29</v>
      </c>
      <c r="G147" s="1" t="s">
        <v>23</v>
      </c>
      <c r="H147" s="5">
        <v>37600</v>
      </c>
      <c r="I147" s="1" t="s">
        <v>24</v>
      </c>
      <c r="J147" s="1">
        <v>31</v>
      </c>
      <c r="K147" s="1" t="s">
        <v>19</v>
      </c>
      <c r="L147" s="1">
        <v>9</v>
      </c>
      <c r="M147" s="1" t="s">
        <v>24</v>
      </c>
      <c r="N147" s="2">
        <f t="shared" ca="1" si="4"/>
        <v>46221</v>
      </c>
      <c r="O147" s="1" t="str">
        <f ca="1">DATEDIF(Employee_TableData[[#This Row],[Date of Join]],Employee_TableData[[#This Row],[Today''s Date]],"y") &amp; "years"</f>
        <v>7years</v>
      </c>
      <c r="P147" s="3" t="str">
        <f>(Employee_TableData[[#This Row],[Employee ID]] &amp; " | " &amp; (Employee_TableData[[#This Row],[Name]]))</f>
        <v>ADPT0146 | Zagnut Nut</v>
      </c>
      <c r="Q147" s="3" t="str" cm="1">
        <f t="array" ref="Q14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47" s="3">
        <f>DAY(Employee_TableData[[#This Row],[Date of Join]])</f>
        <v>10</v>
      </c>
      <c r="S147" s="3" t="str">
        <f>TEXT(Employee_TableData[[#This Row],[Date of Join]],"mmm")</f>
        <v>Oct</v>
      </c>
      <c r="T147" s="3">
        <f>YEAR(Employee_TableData[[#This Row],[Date of Join]])</f>
        <v>2018</v>
      </c>
    </row>
    <row r="148" spans="1:20" ht="12.75" x14ac:dyDescent="0.2">
      <c r="A148" s="1" t="s">
        <v>335</v>
      </c>
      <c r="B148" s="1" t="s">
        <v>185</v>
      </c>
      <c r="C148" s="1" t="s">
        <v>21</v>
      </c>
      <c r="D148" s="1" t="s">
        <v>26</v>
      </c>
      <c r="E148" s="2">
        <v>43864</v>
      </c>
      <c r="F148" s="1" t="s">
        <v>16</v>
      </c>
      <c r="G148" s="1" t="s">
        <v>44</v>
      </c>
      <c r="H148" s="5">
        <v>59500</v>
      </c>
      <c r="I148" s="1" t="s">
        <v>31</v>
      </c>
      <c r="J148" s="1">
        <v>61</v>
      </c>
      <c r="K148" s="1" t="s">
        <v>52</v>
      </c>
      <c r="L148" s="1">
        <v>18</v>
      </c>
      <c r="M148" s="1" t="s">
        <v>18</v>
      </c>
      <c r="N148" s="2">
        <f t="shared" ca="1" si="4"/>
        <v>46221</v>
      </c>
      <c r="O148" s="1" t="str">
        <f ca="1">DATEDIF(Employee_TableData[[#This Row],[Date of Join]],Employee_TableData[[#This Row],[Today''s Date]],"y") &amp; "years"</f>
        <v>6years</v>
      </c>
      <c r="P148" s="3" t="str">
        <f>(Employee_TableData[[#This Row],[Employee ID]] &amp; " | " &amp; (Employee_TableData[[#This Row],[Name]]))</f>
        <v>ADPT0147 | Anika Joshi</v>
      </c>
      <c r="Q148" s="3" t="str" cm="1">
        <f t="array" ref="Q14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8" s="3">
        <f>DAY(Employee_TableData[[#This Row],[Date of Join]])</f>
        <v>3</v>
      </c>
      <c r="S148" s="3" t="str">
        <f>TEXT(Employee_TableData[[#This Row],[Date of Join]],"mmm")</f>
        <v>Feb</v>
      </c>
      <c r="T148" s="3">
        <f>YEAR(Employee_TableData[[#This Row],[Date of Join]])</f>
        <v>2020</v>
      </c>
    </row>
    <row r="149" spans="1:20" ht="12.75" x14ac:dyDescent="0.2">
      <c r="A149" s="1" t="s">
        <v>336</v>
      </c>
      <c r="B149" s="1" t="s">
        <v>150</v>
      </c>
      <c r="C149" s="1" t="s">
        <v>21</v>
      </c>
      <c r="D149" s="1" t="s">
        <v>22</v>
      </c>
      <c r="E149" s="2">
        <v>43673</v>
      </c>
      <c r="F149" s="1" t="s">
        <v>29</v>
      </c>
      <c r="G149" s="1" t="s">
        <v>46</v>
      </c>
      <c r="H149" s="5">
        <v>82400</v>
      </c>
      <c r="I149" s="1" t="s">
        <v>35</v>
      </c>
      <c r="J149" s="1">
        <v>34</v>
      </c>
      <c r="K149" s="1" t="s">
        <v>19</v>
      </c>
      <c r="L149" s="1">
        <v>14</v>
      </c>
      <c r="M149" s="1" t="s">
        <v>18</v>
      </c>
      <c r="N149" s="2">
        <f t="shared" ca="1" si="4"/>
        <v>46221</v>
      </c>
      <c r="O149" s="1" t="str">
        <f ca="1">DATEDIF(Employee_TableData[[#This Row],[Date of Join]],Employee_TableData[[#This Row],[Today''s Date]],"y") &amp; "years"</f>
        <v>6years</v>
      </c>
      <c r="P149" s="3" t="str">
        <f>(Employee_TableData[[#This Row],[Employee ID]] &amp; " | " &amp; (Employee_TableData[[#This Row],[Name]]))</f>
        <v>ADPT0148 | Zara Verma</v>
      </c>
      <c r="Q149" s="3" t="str" cm="1">
        <f t="array" ref="Q14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49" s="3">
        <f>DAY(Employee_TableData[[#This Row],[Date of Join]])</f>
        <v>27</v>
      </c>
      <c r="S149" s="3" t="str">
        <f>TEXT(Employee_TableData[[#This Row],[Date of Join]],"mmm")</f>
        <v>Jul</v>
      </c>
      <c r="T149" s="3">
        <f>YEAR(Employee_TableData[[#This Row],[Date of Join]])</f>
        <v>2019</v>
      </c>
    </row>
    <row r="150" spans="1:20" ht="12.75" x14ac:dyDescent="0.2">
      <c r="A150" s="1" t="s">
        <v>337</v>
      </c>
      <c r="B150" s="1" t="s">
        <v>186</v>
      </c>
      <c r="C150" s="1" t="s">
        <v>14</v>
      </c>
      <c r="D150" s="1" t="s">
        <v>15</v>
      </c>
      <c r="E150" s="2">
        <v>44520</v>
      </c>
      <c r="F150" s="1" t="s">
        <v>16</v>
      </c>
      <c r="G150" s="1" t="s">
        <v>17</v>
      </c>
      <c r="H150" s="5">
        <v>51300</v>
      </c>
      <c r="I150" s="1" t="s">
        <v>18</v>
      </c>
      <c r="J150" s="1">
        <v>33</v>
      </c>
      <c r="K150" s="1" t="s">
        <v>19</v>
      </c>
      <c r="L150" s="1">
        <v>23</v>
      </c>
      <c r="M150" s="1" t="s">
        <v>31</v>
      </c>
      <c r="N150" s="2">
        <f t="shared" ca="1" si="4"/>
        <v>46221</v>
      </c>
      <c r="O150" s="1" t="str">
        <f ca="1">DATEDIF(Employee_TableData[[#This Row],[Date of Join]],Employee_TableData[[#This Row],[Today''s Date]],"y") &amp; "years"</f>
        <v>4years</v>
      </c>
      <c r="P150" s="3" t="str">
        <f>(Employee_TableData[[#This Row],[Employee ID]] &amp; " | " &amp; (Employee_TableData[[#This Row],[Name]]))</f>
        <v>ADPT0149 | Dev Chawla</v>
      </c>
      <c r="Q150" s="3" t="str" cm="1">
        <f t="array" ref="Q15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0" s="3">
        <f>DAY(Employee_TableData[[#This Row],[Date of Join]])</f>
        <v>20</v>
      </c>
      <c r="S150" s="3" t="str">
        <f>TEXT(Employee_TableData[[#This Row],[Date of Join]],"mmm")</f>
        <v>Nov</v>
      </c>
      <c r="T150" s="3">
        <f>YEAR(Employee_TableData[[#This Row],[Date of Join]])</f>
        <v>2021</v>
      </c>
    </row>
    <row r="151" spans="1:20" ht="12.75" x14ac:dyDescent="0.2">
      <c r="A151" s="1" t="s">
        <v>338</v>
      </c>
      <c r="B151" s="1" t="s">
        <v>169</v>
      </c>
      <c r="C151" s="1" t="s">
        <v>21</v>
      </c>
      <c r="D151" s="1" t="s">
        <v>33</v>
      </c>
      <c r="E151" s="2">
        <v>43964</v>
      </c>
      <c r="F151" s="1" t="s">
        <v>16</v>
      </c>
      <c r="G151" s="1" t="s">
        <v>30</v>
      </c>
      <c r="H151" s="5">
        <v>61200</v>
      </c>
      <c r="I151" s="1" t="s">
        <v>31</v>
      </c>
      <c r="J151" s="1">
        <v>44</v>
      </c>
      <c r="K151" s="1" t="s">
        <v>39</v>
      </c>
      <c r="L151" s="1">
        <v>14</v>
      </c>
      <c r="M151" s="1" t="s">
        <v>18</v>
      </c>
      <c r="N151" s="2">
        <f t="shared" ca="1" si="4"/>
        <v>46221</v>
      </c>
      <c r="O151" s="1" t="str">
        <f ca="1">DATEDIF(Employee_TableData[[#This Row],[Date of Join]],Employee_TableData[[#This Row],[Today''s Date]],"y") &amp; "years"</f>
        <v>6years</v>
      </c>
      <c r="P151" s="3" t="str">
        <f>(Employee_TableData[[#This Row],[Employee ID]] &amp; " | " &amp; (Employee_TableData[[#This Row],[Name]]))</f>
        <v>ADPT0150 | Pari Gupta</v>
      </c>
      <c r="Q151" s="3" t="str" cm="1">
        <f t="array" ref="Q15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1" s="3">
        <f>DAY(Employee_TableData[[#This Row],[Date of Join]])</f>
        <v>13</v>
      </c>
      <c r="S151" s="3" t="str">
        <f>TEXT(Employee_TableData[[#This Row],[Date of Join]],"mmm")</f>
        <v>May</v>
      </c>
      <c r="T151" s="3">
        <f>YEAR(Employee_TableData[[#This Row],[Date of Join]])</f>
        <v>2020</v>
      </c>
    </row>
    <row r="152" spans="1:20" ht="12.75" x14ac:dyDescent="0.2">
      <c r="A152" s="1" t="s">
        <v>339</v>
      </c>
      <c r="B152" s="1" t="s">
        <v>153</v>
      </c>
      <c r="C152" s="1" t="s">
        <v>21</v>
      </c>
      <c r="D152" s="1" t="s">
        <v>26</v>
      </c>
      <c r="E152" s="2">
        <v>43683</v>
      </c>
      <c r="F152" s="1" t="s">
        <v>29</v>
      </c>
      <c r="G152" s="1" t="s">
        <v>34</v>
      </c>
      <c r="H152" s="5">
        <v>78200</v>
      </c>
      <c r="I152" s="1" t="s">
        <v>35</v>
      </c>
      <c r="J152" s="1">
        <v>28</v>
      </c>
      <c r="K152" s="1" t="s">
        <v>19</v>
      </c>
      <c r="L152" s="1">
        <v>21</v>
      </c>
      <c r="M152" s="1" t="s">
        <v>31</v>
      </c>
      <c r="N152" s="2">
        <f t="shared" ca="1" si="4"/>
        <v>46221</v>
      </c>
      <c r="O152" s="1" t="str">
        <f ca="1">DATEDIF(Employee_TableData[[#This Row],[Date of Join]],Employee_TableData[[#This Row],[Today''s Date]],"y") &amp; "years"</f>
        <v>6years</v>
      </c>
      <c r="P152" s="3" t="str">
        <f>(Employee_TableData[[#This Row],[Employee ID]] &amp; " | " &amp; (Employee_TableData[[#This Row],[Name]]))</f>
        <v>ADPT0151 | Aanya Singh</v>
      </c>
      <c r="Q152" s="3" t="str" cm="1">
        <f t="array" ref="Q15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2" s="3">
        <f>DAY(Employee_TableData[[#This Row],[Date of Join]])</f>
        <v>6</v>
      </c>
      <c r="S152" s="3" t="str">
        <f>TEXT(Employee_TableData[[#This Row],[Date of Join]],"mmm")</f>
        <v>Aug</v>
      </c>
      <c r="T152" s="3">
        <f>YEAR(Employee_TableData[[#This Row],[Date of Join]])</f>
        <v>2019</v>
      </c>
    </row>
    <row r="153" spans="1:20" ht="12.75" x14ac:dyDescent="0.2">
      <c r="A153" s="1" t="s">
        <v>340</v>
      </c>
      <c r="B153" s="1" t="s">
        <v>171</v>
      </c>
      <c r="C153" s="1" t="s">
        <v>21</v>
      </c>
      <c r="D153" s="1" t="s">
        <v>22</v>
      </c>
      <c r="E153" s="2">
        <v>44986</v>
      </c>
      <c r="F153" s="1" t="s">
        <v>37</v>
      </c>
      <c r="G153" s="1" t="s">
        <v>38</v>
      </c>
      <c r="H153" s="5">
        <v>48100</v>
      </c>
      <c r="I153" s="1" t="s">
        <v>18</v>
      </c>
      <c r="J153" s="1">
        <v>37</v>
      </c>
      <c r="K153" s="1" t="s">
        <v>39</v>
      </c>
      <c r="L153" s="1">
        <v>16</v>
      </c>
      <c r="M153" s="1" t="s">
        <v>18</v>
      </c>
      <c r="N153" s="2">
        <f t="shared" ca="1" si="4"/>
        <v>46221</v>
      </c>
      <c r="O153" s="1" t="str">
        <f ca="1">DATEDIF(Employee_TableData[[#This Row],[Date of Join]],Employee_TableData[[#This Row],[Today''s Date]],"y") &amp; "years"</f>
        <v>3years</v>
      </c>
      <c r="P153" s="3" t="str">
        <f>(Employee_TableData[[#This Row],[Employee ID]] &amp; " | " &amp; (Employee_TableData[[#This Row],[Name]]))</f>
        <v>ADPT0152 | Kiara Bhatia</v>
      </c>
      <c r="Q153" s="3" t="str" cm="1">
        <f t="array" ref="Q153">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53" s="3">
        <f>DAY(Employee_TableData[[#This Row],[Date of Join]])</f>
        <v>1</v>
      </c>
      <c r="S153" s="3" t="str">
        <f>TEXT(Employee_TableData[[#This Row],[Date of Join]],"mmm")</f>
        <v>Mar</v>
      </c>
      <c r="T153" s="3">
        <f>YEAR(Employee_TableData[[#This Row],[Date of Join]])</f>
        <v>2023</v>
      </c>
    </row>
    <row r="154" spans="1:20" ht="12.75" x14ac:dyDescent="0.2">
      <c r="A154" s="1" t="s">
        <v>341</v>
      </c>
      <c r="B154" s="1" t="s">
        <v>172</v>
      </c>
      <c r="C154" s="1" t="s">
        <v>14</v>
      </c>
      <c r="D154" s="1" t="s">
        <v>15</v>
      </c>
      <c r="E154" s="2">
        <v>44341</v>
      </c>
      <c r="F154" s="1" t="s">
        <v>16</v>
      </c>
      <c r="G154" s="1" t="s">
        <v>42</v>
      </c>
      <c r="H154" s="5">
        <v>44000</v>
      </c>
      <c r="I154" s="1" t="s">
        <v>18</v>
      </c>
      <c r="J154" s="1">
        <v>31</v>
      </c>
      <c r="K154" s="1" t="s">
        <v>19</v>
      </c>
      <c r="L154" s="1">
        <v>15</v>
      </c>
      <c r="M154" s="1" t="s">
        <v>18</v>
      </c>
      <c r="N154" s="2">
        <f t="shared" ca="1" si="4"/>
        <v>46221</v>
      </c>
      <c r="O154" s="1" t="str">
        <f ca="1">DATEDIF(Employee_TableData[[#This Row],[Date of Join]],Employee_TableData[[#This Row],[Today''s Date]],"y") &amp; "years"</f>
        <v>5years</v>
      </c>
      <c r="P154" s="3" t="str">
        <f>(Employee_TableData[[#This Row],[Employee ID]] &amp; " | " &amp; (Employee_TableData[[#This Row],[Name]]))</f>
        <v>ADPT0153 | Reyansh Rana</v>
      </c>
      <c r="Q154" s="3" t="str" cm="1">
        <f t="array" ref="Q154">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4" s="3">
        <f>DAY(Employee_TableData[[#This Row],[Date of Join]])</f>
        <v>25</v>
      </c>
      <c r="S154" s="3" t="str">
        <f>TEXT(Employee_TableData[[#This Row],[Date of Join]],"mmm")</f>
        <v>May</v>
      </c>
      <c r="T154" s="3">
        <f>YEAR(Employee_TableData[[#This Row],[Date of Join]])</f>
        <v>2021</v>
      </c>
    </row>
    <row r="155" spans="1:20" ht="12.75" x14ac:dyDescent="0.2">
      <c r="A155" s="1" t="s">
        <v>342</v>
      </c>
      <c r="B155" s="1" t="s">
        <v>187</v>
      </c>
      <c r="C155" s="1" t="s">
        <v>21</v>
      </c>
      <c r="D155" s="1" t="s">
        <v>26</v>
      </c>
      <c r="E155" s="2">
        <v>44091</v>
      </c>
      <c r="F155" s="1" t="s">
        <v>16</v>
      </c>
      <c r="G155" s="1" t="s">
        <v>27</v>
      </c>
      <c r="H155" s="5">
        <v>36000</v>
      </c>
      <c r="I155" s="1" t="s">
        <v>24</v>
      </c>
      <c r="J155" s="1">
        <v>26</v>
      </c>
      <c r="K155" s="1" t="s">
        <v>19</v>
      </c>
      <c r="L155" s="1">
        <v>15</v>
      </c>
      <c r="M155" s="1" t="s">
        <v>18</v>
      </c>
      <c r="N155" s="2">
        <f t="shared" ca="1" si="4"/>
        <v>46221</v>
      </c>
      <c r="O155" s="1" t="str">
        <f ca="1">DATEDIF(Employee_TableData[[#This Row],[Date of Join]],Employee_TableData[[#This Row],[Today''s Date]],"y") &amp; "years"</f>
        <v>5years</v>
      </c>
      <c r="P155" s="3" t="str">
        <f>(Employee_TableData[[#This Row],[Employee ID]] &amp; " | " &amp; (Employee_TableData[[#This Row],[Name]]))</f>
        <v>ADPT0154 | Eltin John</v>
      </c>
      <c r="Q155" s="3" t="str" cm="1">
        <f t="array" ref="Q155">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Support Roles</v>
      </c>
      <c r="R155" s="3">
        <f>DAY(Employee_TableData[[#This Row],[Date of Join]])</f>
        <v>17</v>
      </c>
      <c r="S155" s="3" t="str">
        <f>TEXT(Employee_TableData[[#This Row],[Date of Join]],"mmm")</f>
        <v>Sept</v>
      </c>
      <c r="T155" s="3">
        <f>YEAR(Employee_TableData[[#This Row],[Date of Join]])</f>
        <v>2020</v>
      </c>
    </row>
    <row r="156" spans="1:20" ht="12.75" x14ac:dyDescent="0.2">
      <c r="A156" s="1" t="s">
        <v>343</v>
      </c>
      <c r="B156" s="1" t="s">
        <v>175</v>
      </c>
      <c r="C156" s="1" t="s">
        <v>21</v>
      </c>
      <c r="D156" s="1" t="s">
        <v>22</v>
      </c>
      <c r="E156" s="2">
        <v>43809</v>
      </c>
      <c r="F156" s="1" t="s">
        <v>29</v>
      </c>
      <c r="G156" s="1" t="s">
        <v>23</v>
      </c>
      <c r="H156" s="5">
        <v>37400</v>
      </c>
      <c r="I156" s="1" t="s">
        <v>24</v>
      </c>
      <c r="J156" s="1">
        <v>46</v>
      </c>
      <c r="K156" s="1" t="s">
        <v>39</v>
      </c>
      <c r="L156" s="1">
        <v>20</v>
      </c>
      <c r="M156" s="1" t="s">
        <v>18</v>
      </c>
      <c r="N156" s="2">
        <f t="shared" ca="1" si="4"/>
        <v>46221</v>
      </c>
      <c r="O156" s="1" t="str">
        <f ca="1">DATEDIF(Employee_TableData[[#This Row],[Date of Join]],Employee_TableData[[#This Row],[Today''s Date]],"y") &amp; "years"</f>
        <v>6years</v>
      </c>
      <c r="P156" s="3" t="str">
        <f>(Employee_TableData[[#This Row],[Employee ID]] &amp; " | " &amp; (Employee_TableData[[#This Row],[Name]]))</f>
        <v>ADPT0155 | Avani Iyer</v>
      </c>
      <c r="Q156" s="3" t="str" cm="1">
        <f t="array" ref="Q156">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56" s="3">
        <f>DAY(Employee_TableData[[#This Row],[Date of Join]])</f>
        <v>10</v>
      </c>
      <c r="S156" s="3" t="str">
        <f>TEXT(Employee_TableData[[#This Row],[Date of Join]],"mmm")</f>
        <v>Dec</v>
      </c>
      <c r="T156" s="3">
        <f>YEAR(Employee_TableData[[#This Row],[Date of Join]])</f>
        <v>2019</v>
      </c>
    </row>
    <row r="157" spans="1:20" ht="12.75" x14ac:dyDescent="0.2">
      <c r="A157" s="1" t="s">
        <v>344</v>
      </c>
      <c r="B157" s="1" t="s">
        <v>176</v>
      </c>
      <c r="C157" s="1" t="s">
        <v>14</v>
      </c>
      <c r="D157" s="1" t="s">
        <v>15</v>
      </c>
      <c r="E157" s="2">
        <v>43407</v>
      </c>
      <c r="F157" s="1" t="s">
        <v>29</v>
      </c>
      <c r="G157" s="1" t="s">
        <v>44</v>
      </c>
      <c r="H157" s="5">
        <v>57100</v>
      </c>
      <c r="I157" s="1" t="s">
        <v>31</v>
      </c>
      <c r="J157" s="1">
        <v>34</v>
      </c>
      <c r="K157" s="1" t="s">
        <v>19</v>
      </c>
      <c r="L157" s="1">
        <v>16</v>
      </c>
      <c r="M157" s="1" t="s">
        <v>18</v>
      </c>
      <c r="N157" s="2">
        <f t="shared" ca="1" si="4"/>
        <v>46221</v>
      </c>
      <c r="O157" s="1" t="str">
        <f ca="1">DATEDIF(Employee_TableData[[#This Row],[Date of Join]],Employee_TableData[[#This Row],[Today''s Date]],"y") &amp; "years"</f>
        <v>7years</v>
      </c>
      <c r="P157" s="3" t="str">
        <f>(Employee_TableData[[#This Row],[Employee ID]] &amp; " | " &amp; (Employee_TableData[[#This Row],[Name]]))</f>
        <v>ADPT0156 | Kiaan Shah</v>
      </c>
      <c r="Q157" s="3" t="str" cm="1">
        <f t="array" ref="Q157">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7" s="3">
        <f>DAY(Employee_TableData[[#This Row],[Date of Join]])</f>
        <v>3</v>
      </c>
      <c r="S157" s="3" t="str">
        <f>TEXT(Employee_TableData[[#This Row],[Date of Join]],"mmm")</f>
        <v>Nov</v>
      </c>
      <c r="T157" s="3">
        <f>YEAR(Employee_TableData[[#This Row],[Date of Join]])</f>
        <v>2018</v>
      </c>
    </row>
    <row r="158" spans="1:20" ht="12.75" x14ac:dyDescent="0.2">
      <c r="A158" s="1" t="s">
        <v>345</v>
      </c>
      <c r="B158" s="1" t="s">
        <v>188</v>
      </c>
      <c r="C158" s="1" t="s">
        <v>14</v>
      </c>
      <c r="D158" s="1" t="s">
        <v>33</v>
      </c>
      <c r="E158" s="2">
        <v>43065</v>
      </c>
      <c r="F158" s="1" t="s">
        <v>58</v>
      </c>
      <c r="G158" s="1" t="s">
        <v>46</v>
      </c>
      <c r="H158" s="5">
        <v>82300</v>
      </c>
      <c r="I158" s="1" t="s">
        <v>35</v>
      </c>
      <c r="J158" s="1">
        <v>34</v>
      </c>
      <c r="K158" s="1" t="s">
        <v>19</v>
      </c>
      <c r="L158" s="1">
        <v>18</v>
      </c>
      <c r="M158" s="1" t="s">
        <v>18</v>
      </c>
      <c r="N158" s="2">
        <f t="shared" ca="1" si="4"/>
        <v>46221</v>
      </c>
      <c r="O158" s="1" t="str">
        <f ca="1">DATEDIF(Employee_TableData[[#This Row],[Date of Join]],Employee_TableData[[#This Row],[Today''s Date]],"y") &amp; "years"</f>
        <v>8years</v>
      </c>
      <c r="P158" s="3" t="str">
        <f>(Employee_TableData[[#This Row],[Employee ID]] &amp; " | " &amp; (Employee_TableData[[#This Row],[Name]]))</f>
        <v>ADPT0157 | Michael Walkson</v>
      </c>
      <c r="Q158" s="3" t="str" cm="1">
        <f t="array" ref="Q158">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8" s="3">
        <f>DAY(Employee_TableData[[#This Row],[Date of Join]])</f>
        <v>26</v>
      </c>
      <c r="S158" s="3" t="str">
        <f>TEXT(Employee_TableData[[#This Row],[Date of Join]],"mmm")</f>
        <v>Nov</v>
      </c>
      <c r="T158" s="3">
        <f>YEAR(Employee_TableData[[#This Row],[Date of Join]])</f>
        <v>2017</v>
      </c>
    </row>
    <row r="159" spans="1:20" ht="12.75" x14ac:dyDescent="0.2">
      <c r="A159" s="1" t="s">
        <v>346</v>
      </c>
      <c r="B159" s="1" t="s">
        <v>178</v>
      </c>
      <c r="C159" s="1" t="s">
        <v>21</v>
      </c>
      <c r="D159" s="1" t="s">
        <v>26</v>
      </c>
      <c r="E159" s="2">
        <v>45025</v>
      </c>
      <c r="F159" s="1" t="s">
        <v>37</v>
      </c>
      <c r="G159" s="1" t="s">
        <v>17</v>
      </c>
      <c r="H159" s="5">
        <v>52900</v>
      </c>
      <c r="I159" s="1" t="s">
        <v>18</v>
      </c>
      <c r="J159" s="1">
        <v>30</v>
      </c>
      <c r="K159" s="1" t="s">
        <v>19</v>
      </c>
      <c r="L159" s="1">
        <v>8</v>
      </c>
      <c r="M159" s="1" t="s">
        <v>24</v>
      </c>
      <c r="N159" s="2">
        <f t="shared" ca="1" si="4"/>
        <v>46221</v>
      </c>
      <c r="O159" s="1" t="str">
        <f ca="1">DATEDIF(Employee_TableData[[#This Row],[Date of Join]],Employee_TableData[[#This Row],[Today''s Date]],"y") &amp; "years"</f>
        <v>3years</v>
      </c>
      <c r="P159" s="3" t="str">
        <f>(Employee_TableData[[#This Row],[Employee ID]] &amp; " | " &amp; (Employee_TableData[[#This Row],[Name]]))</f>
        <v>ADPT0158 | Anaya Agarwal</v>
      </c>
      <c r="Q159" s="3" t="str" cm="1">
        <f t="array" ref="Q159">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59" s="3">
        <f>DAY(Employee_TableData[[#This Row],[Date of Join]])</f>
        <v>9</v>
      </c>
      <c r="S159" s="3" t="str">
        <f>TEXT(Employee_TableData[[#This Row],[Date of Join]],"mmm")</f>
        <v>Apr</v>
      </c>
      <c r="T159" s="3">
        <f>YEAR(Employee_TableData[[#This Row],[Date of Join]])</f>
        <v>2023</v>
      </c>
    </row>
    <row r="160" spans="1:20" ht="12.75" x14ac:dyDescent="0.2">
      <c r="A160" s="1" t="s">
        <v>347</v>
      </c>
      <c r="B160" s="1" t="s">
        <v>179</v>
      </c>
      <c r="C160" s="1" t="s">
        <v>14</v>
      </c>
      <c r="D160" s="1" t="s">
        <v>22</v>
      </c>
      <c r="E160" s="2">
        <v>43984</v>
      </c>
      <c r="F160" s="1" t="s">
        <v>16</v>
      </c>
      <c r="G160" s="1" t="s">
        <v>51</v>
      </c>
      <c r="H160" s="5">
        <v>71100</v>
      </c>
      <c r="I160" s="1" t="s">
        <v>35</v>
      </c>
      <c r="J160" s="1">
        <v>32</v>
      </c>
      <c r="K160" s="1" t="s">
        <v>19</v>
      </c>
      <c r="L160" s="1">
        <v>13</v>
      </c>
      <c r="M160" s="1" t="s">
        <v>18</v>
      </c>
      <c r="N160" s="2">
        <f t="shared" ca="1" si="4"/>
        <v>46221</v>
      </c>
      <c r="O160" s="1" t="str">
        <f ca="1">DATEDIF(Employee_TableData[[#This Row],[Date of Join]],Employee_TableData[[#This Row],[Today''s Date]],"y") &amp; "years"</f>
        <v>6years</v>
      </c>
      <c r="P160" s="3" t="str">
        <f>(Employee_TableData[[#This Row],[Employee ID]] &amp; " | " &amp; (Employee_TableData[[#This Row],[Name]]))</f>
        <v>ADPT0159 | Krish Rawat</v>
      </c>
      <c r="Q160" s="3" t="str" cm="1">
        <f t="array" ref="Q160">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60" s="3">
        <f>DAY(Employee_TableData[[#This Row],[Date of Join]])</f>
        <v>2</v>
      </c>
      <c r="S160" s="3" t="str">
        <f>TEXT(Employee_TableData[[#This Row],[Date of Join]],"mmm")</f>
        <v>Jun</v>
      </c>
      <c r="T160" s="3">
        <f>YEAR(Employee_TableData[[#This Row],[Date of Join]])</f>
        <v>2020</v>
      </c>
    </row>
    <row r="161" spans="1:20" ht="12.75" x14ac:dyDescent="0.2">
      <c r="A161" s="1" t="s">
        <v>348</v>
      </c>
      <c r="B161" s="1" t="s">
        <v>180</v>
      </c>
      <c r="C161" s="1" t="s">
        <v>21</v>
      </c>
      <c r="D161" s="1" t="s">
        <v>15</v>
      </c>
      <c r="E161" s="2">
        <v>43703</v>
      </c>
      <c r="F161" s="1" t="s">
        <v>29</v>
      </c>
      <c r="G161" s="1" t="s">
        <v>34</v>
      </c>
      <c r="H161" s="5">
        <v>76900</v>
      </c>
      <c r="I161" s="1" t="s">
        <v>35</v>
      </c>
      <c r="J161" s="1">
        <v>33</v>
      </c>
      <c r="K161" s="1" t="s">
        <v>19</v>
      </c>
      <c r="L161" s="1">
        <v>17</v>
      </c>
      <c r="M161" s="1" t="s">
        <v>18</v>
      </c>
      <c r="N161" s="2">
        <f t="shared" ca="1" si="4"/>
        <v>46221</v>
      </c>
      <c r="O161" s="1" t="str">
        <f ca="1">DATEDIF(Employee_TableData[[#This Row],[Date of Join]],Employee_TableData[[#This Row],[Today''s Date]],"y") &amp; "years"</f>
        <v>6years</v>
      </c>
      <c r="P161" s="3" t="str">
        <f>(Employee_TableData[[#This Row],[Employee ID]] &amp; " | " &amp; (Employee_TableData[[#This Row],[Name]]))</f>
        <v>ADPT0160 | Siya Sharma</v>
      </c>
      <c r="Q161" s="3" t="str" cm="1">
        <f t="array" ref="Q161">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Specialized Roles</v>
      </c>
      <c r="R161" s="3">
        <f>DAY(Employee_TableData[[#This Row],[Date of Join]])</f>
        <v>26</v>
      </c>
      <c r="S161" s="3" t="str">
        <f>TEXT(Employee_TableData[[#This Row],[Date of Join]],"mmm")</f>
        <v>Aug</v>
      </c>
      <c r="T161" s="3">
        <f>YEAR(Employee_TableData[[#This Row],[Date of Join]])</f>
        <v>2019</v>
      </c>
    </row>
    <row r="162" spans="1:20" ht="12.75" x14ac:dyDescent="0.2">
      <c r="A162" s="1" t="s">
        <v>349</v>
      </c>
      <c r="B162" s="1" t="s">
        <v>181</v>
      </c>
      <c r="C162" s="1" t="s">
        <v>14</v>
      </c>
      <c r="D162" s="1" t="s">
        <v>26</v>
      </c>
      <c r="E162" s="2">
        <v>44639</v>
      </c>
      <c r="F162" s="1" t="s">
        <v>16</v>
      </c>
      <c r="G162" s="1" t="s">
        <v>38</v>
      </c>
      <c r="H162" s="5">
        <v>46400</v>
      </c>
      <c r="I162" s="1" t="s">
        <v>18</v>
      </c>
      <c r="J162" s="1">
        <v>37</v>
      </c>
      <c r="K162" s="1" t="s">
        <v>39</v>
      </c>
      <c r="L162" s="1">
        <v>11</v>
      </c>
      <c r="M162" s="1" t="s">
        <v>18</v>
      </c>
      <c r="N162" s="2">
        <f t="shared" ca="1" si="4"/>
        <v>46221</v>
      </c>
      <c r="O162" s="1" t="str">
        <f ca="1">DATEDIF(Employee_TableData[[#This Row],[Date of Join]],Employee_TableData[[#This Row],[Today''s Date]],"y") &amp; "years"</f>
        <v>4years</v>
      </c>
      <c r="P162" s="3" t="str">
        <f>(Employee_TableData[[#This Row],[Employee ID]] &amp; " | " &amp; (Employee_TableData[[#This Row],[Name]]))</f>
        <v>ADPT0161 | Kabir Trivedi</v>
      </c>
      <c r="Q162" s="3" t="str" cm="1">
        <f t="array" ref="Q162">_xlfn.IFS(TRIM(LOWER(Employee_TableData[[#This Row],[Job Title]]))=TRIM(LOWER("Marketing Manager")),"Specialized Roles",TRIM(LOWER(Employee_TableData[[#This Row],[Job Title]]))=TRIM(LOWER("Product Manager")),"Specialized Roles",TRIM(LOWER(Employee_TableData[[#This Row],[Job Title]]))=TRIM(LOWER("Marketing Specialist")),"Specialized Roles",TRIM(LOWER(Employee_TableData[[#This Row],[Job Title]]))=TRIM(LOWER("Research Scientist")),"Specialized Roles",TRIM(LOWER(Employee_TableData[[#This Row],[Job Title]]))=TRIM(LOWER("Research Analyst")),"Specialized Roles",TRIM(LOWER(Employee_TableData[[#This Row],[Job Title]]))=TRIM(LOWER("Quality Control")),"Specialized Roles",TRIM(LOWER(Employee_TableData[[#This Row],[Job Title]]))=TRIM(LOWER("Chocolatier")),"Specialized Roles",TRIM(LOWER(Employee_TableData[[#This Row],[Job Title]]))=TRIM(LOWER("Sales Representative")),"Operational Roles",TRIM(LOWER(Employee_TableData[[#This Row],[Job Title]]))=TRIM(LOWER("Production Operator")),"Operational Roles",TRIM(LOWER(Employee_TableData[[#This Row],[Job Title]]))=TRIM(LOWER("Packaging Associate")),"Support Roles")</f>
        <v>Operational Roles</v>
      </c>
      <c r="R162" s="3">
        <f>DAY(Employee_TableData[[#This Row],[Date of Join]])</f>
        <v>19</v>
      </c>
      <c r="S162" s="3" t="str">
        <f>TEXT(Employee_TableData[[#This Row],[Date of Join]],"mmm")</f>
        <v>Mar</v>
      </c>
      <c r="T162" s="3">
        <f>YEAR(Employee_TableData[[#This Row],[Date of Join]])</f>
        <v>2022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683FB-73FE-4317-A1CD-D6E6782FCE76}">
  <dimension ref="A1:AU507"/>
  <sheetViews>
    <sheetView workbookViewId="0">
      <selection sqref="A1:B1"/>
    </sheetView>
  </sheetViews>
  <sheetFormatPr defaultRowHeight="12.75" x14ac:dyDescent="0.2"/>
  <cols>
    <col min="1" max="1" width="11.140625" style="9" bestFit="1" customWidth="1"/>
    <col min="2" max="2" width="9.7109375" style="9" bestFit="1" customWidth="1"/>
    <col min="3" max="3" width="0.28515625" style="9" customWidth="1"/>
    <col min="4" max="4" width="17.5703125" style="9" bestFit="1" customWidth="1"/>
    <col min="5" max="5" width="15.5703125" style="9" bestFit="1" customWidth="1"/>
    <col min="6" max="6" width="14.140625" style="9" bestFit="1" customWidth="1"/>
    <col min="7" max="7" width="11.85546875" style="9" bestFit="1" customWidth="1"/>
    <col min="8" max="8" width="10" style="9" bestFit="1" customWidth="1"/>
    <col min="9" max="9" width="0.28515625" style="8" customWidth="1"/>
    <col min="10" max="10" width="11.42578125" style="9" bestFit="1" customWidth="1"/>
    <col min="11" max="11" width="15.140625" style="9" bestFit="1" customWidth="1"/>
    <col min="12" max="12" width="0.28515625" style="8" customWidth="1"/>
    <col min="13" max="13" width="17.7109375" style="9" bestFit="1" customWidth="1"/>
    <col min="14" max="14" width="15.140625" style="9" bestFit="1" customWidth="1"/>
    <col min="15" max="15" width="0.28515625" style="8" customWidth="1"/>
    <col min="16" max="16" width="13.7109375" style="9" bestFit="1" customWidth="1"/>
    <col min="17" max="17" width="15.140625" style="9" bestFit="1" customWidth="1"/>
    <col min="18" max="18" width="0.28515625" style="8" customWidth="1"/>
    <col min="19" max="19" width="16.28515625" style="9" bestFit="1" customWidth="1"/>
    <col min="20" max="20" width="14.5703125" style="9" bestFit="1" customWidth="1"/>
    <col min="21" max="26" width="5" style="9" bestFit="1" customWidth="1"/>
    <col min="27" max="27" width="10" style="9" bestFit="1" customWidth="1"/>
    <col min="28" max="35" width="10" style="9" customWidth="1"/>
    <col min="36" max="36" width="0.28515625" style="8" customWidth="1"/>
    <col min="37" max="37" width="15.28515625" style="9" bestFit="1" customWidth="1"/>
    <col min="38" max="38" width="15.140625" style="9" bestFit="1" customWidth="1"/>
    <col min="39" max="39" width="11.42578125" style="8" customWidth="1"/>
    <col min="40" max="40" width="0.28515625" style="8" customWidth="1"/>
    <col min="41" max="41" width="35.28515625" style="9" bestFit="1" customWidth="1"/>
    <col min="42" max="42" width="11.42578125" style="9" bestFit="1" customWidth="1"/>
    <col min="43" max="43" width="7.7109375" style="9" bestFit="1" customWidth="1"/>
    <col min="44" max="44" width="10" style="9" bestFit="1" customWidth="1"/>
    <col min="45" max="45" width="29" style="9" bestFit="1" customWidth="1"/>
    <col min="46" max="47" width="15.85546875" style="9" bestFit="1" customWidth="1"/>
    <col min="48" max="16384" width="9.140625" style="9"/>
  </cols>
  <sheetData>
    <row r="1" spans="1:47" ht="20.25" thickBot="1" x14ac:dyDescent="0.25">
      <c r="A1" s="21">
        <v>1</v>
      </c>
      <c r="B1" s="21"/>
      <c r="C1" s="8"/>
      <c r="D1" s="21" t="s">
        <v>361</v>
      </c>
      <c r="E1" s="21"/>
      <c r="F1" s="21"/>
      <c r="G1" s="21"/>
      <c r="H1" s="21"/>
      <c r="J1" s="21" t="s">
        <v>362</v>
      </c>
      <c r="K1" s="21"/>
      <c r="M1" s="21" t="s">
        <v>364</v>
      </c>
      <c r="N1" s="21"/>
      <c r="P1" s="21" t="s">
        <v>366</v>
      </c>
      <c r="Q1" s="21"/>
      <c r="S1" s="21">
        <v>3</v>
      </c>
      <c r="T1" s="21"/>
      <c r="U1" s="21"/>
      <c r="V1" s="21"/>
      <c r="W1" s="21"/>
      <c r="X1" s="21"/>
      <c r="Y1" s="21"/>
      <c r="Z1" s="21"/>
      <c r="AA1" s="21"/>
      <c r="AB1" s="18"/>
      <c r="AC1" s="18"/>
      <c r="AD1" s="18"/>
      <c r="AE1" s="18"/>
      <c r="AF1" s="18"/>
      <c r="AG1" s="18"/>
      <c r="AH1" s="18"/>
      <c r="AI1" s="18"/>
      <c r="AK1" s="21">
        <v>4</v>
      </c>
      <c r="AL1" s="21"/>
      <c r="AM1" s="21"/>
      <c r="AO1" s="21">
        <v>5</v>
      </c>
      <c r="AP1" s="21"/>
      <c r="AQ1" s="21"/>
      <c r="AR1" s="21"/>
    </row>
    <row r="2" spans="1:47" ht="13.5" thickTop="1" x14ac:dyDescent="0.2">
      <c r="C2" s="8"/>
      <c r="AM2" s="9"/>
    </row>
    <row r="3" spans="1:47" ht="38.25" x14ac:dyDescent="0.2">
      <c r="A3" s="10" t="s">
        <v>351</v>
      </c>
      <c r="B3" s="12" t="s">
        <v>375</v>
      </c>
      <c r="C3" s="8"/>
      <c r="D3" s="11" t="s">
        <v>375</v>
      </c>
      <c r="E3" s="10" t="s">
        <v>369</v>
      </c>
      <c r="J3" s="10" t="s">
        <v>2</v>
      </c>
      <c r="K3" s="12" t="s">
        <v>375</v>
      </c>
      <c r="M3" s="11" t="s">
        <v>367</v>
      </c>
      <c r="N3" s="12" t="s">
        <v>375</v>
      </c>
      <c r="P3" s="10" t="s">
        <v>5</v>
      </c>
      <c r="Q3" s="12" t="s">
        <v>375</v>
      </c>
      <c r="S3" s="11" t="s">
        <v>394</v>
      </c>
      <c r="T3" s="11" t="s">
        <v>372</v>
      </c>
      <c r="AK3" s="10" t="s">
        <v>8</v>
      </c>
      <c r="AL3" s="12" t="s">
        <v>375</v>
      </c>
      <c r="AM3" s="9" t="s">
        <v>368</v>
      </c>
      <c r="AO3" s="10" t="s">
        <v>375</v>
      </c>
      <c r="AP3" s="10" t="s">
        <v>2</v>
      </c>
      <c r="AS3"/>
      <c r="AT3"/>
      <c r="AU3"/>
    </row>
    <row r="4" spans="1:47" ht="25.5" x14ac:dyDescent="0.2">
      <c r="A4" s="7" t="s">
        <v>354</v>
      </c>
      <c r="B4" s="19">
        <v>34</v>
      </c>
      <c r="C4" s="8"/>
      <c r="D4" s="10" t="s">
        <v>6</v>
      </c>
      <c r="E4" s="9" t="s">
        <v>363</v>
      </c>
      <c r="F4" s="9" t="s">
        <v>359</v>
      </c>
      <c r="G4" s="9" t="s">
        <v>365</v>
      </c>
      <c r="H4" s="9" t="s">
        <v>376</v>
      </c>
      <c r="J4" s="7" t="s">
        <v>21</v>
      </c>
      <c r="K4" s="19">
        <v>88</v>
      </c>
      <c r="M4" s="7" t="s">
        <v>15</v>
      </c>
      <c r="N4" s="19">
        <v>49</v>
      </c>
      <c r="P4" s="7" t="s">
        <v>16</v>
      </c>
      <c r="Q4" s="19">
        <v>79</v>
      </c>
      <c r="S4" s="10" t="s">
        <v>371</v>
      </c>
      <c r="T4" s="9" t="s">
        <v>373</v>
      </c>
      <c r="U4" s="9" t="s">
        <v>374</v>
      </c>
      <c r="V4" s="9" t="s">
        <v>381</v>
      </c>
      <c r="W4" s="9" t="s">
        <v>379</v>
      </c>
      <c r="X4" s="9" t="s">
        <v>378</v>
      </c>
      <c r="Y4" s="9" t="s">
        <v>377</v>
      </c>
      <c r="Z4" s="9" t="s">
        <v>380</v>
      </c>
      <c r="AA4" s="9" t="s">
        <v>376</v>
      </c>
      <c r="AK4" s="7" t="s">
        <v>18</v>
      </c>
      <c r="AL4" s="19">
        <v>52</v>
      </c>
      <c r="AM4" s="14">
        <v>2475500</v>
      </c>
      <c r="AO4" s="11" t="s">
        <v>395</v>
      </c>
      <c r="AP4" s="9" t="s">
        <v>21</v>
      </c>
      <c r="AQ4" s="9" t="s">
        <v>14</v>
      </c>
      <c r="AR4" s="9" t="s">
        <v>376</v>
      </c>
      <c r="AS4"/>
      <c r="AT4"/>
      <c r="AU4"/>
    </row>
    <row r="5" spans="1:47" x14ac:dyDescent="0.2">
      <c r="A5" s="7" t="s">
        <v>353</v>
      </c>
      <c r="B5" s="19">
        <v>30</v>
      </c>
      <c r="C5" s="8"/>
      <c r="D5" s="7" t="s">
        <v>27</v>
      </c>
      <c r="E5" s="19"/>
      <c r="F5" s="19"/>
      <c r="G5" s="19">
        <v>22</v>
      </c>
      <c r="H5" s="19">
        <v>22</v>
      </c>
      <c r="J5" s="7" t="s">
        <v>14</v>
      </c>
      <c r="K5" s="19">
        <v>73</v>
      </c>
      <c r="M5" s="7" t="s">
        <v>26</v>
      </c>
      <c r="N5" s="19">
        <v>42</v>
      </c>
      <c r="P5" s="7" t="s">
        <v>29</v>
      </c>
      <c r="Q5" s="19">
        <v>52</v>
      </c>
      <c r="S5" s="7" t="s">
        <v>388</v>
      </c>
      <c r="T5" s="19"/>
      <c r="U5" s="19"/>
      <c r="V5" s="19"/>
      <c r="W5" s="19">
        <v>3</v>
      </c>
      <c r="X5" s="19">
        <v>1</v>
      </c>
      <c r="Y5" s="19">
        <v>1</v>
      </c>
      <c r="Z5" s="19">
        <v>6</v>
      </c>
      <c r="AA5" s="19">
        <v>11</v>
      </c>
      <c r="AB5" s="19"/>
      <c r="AC5" s="19"/>
      <c r="AD5" s="19"/>
      <c r="AE5" s="19"/>
      <c r="AF5" s="19"/>
      <c r="AG5" s="19"/>
      <c r="AH5" s="19"/>
      <c r="AI5" s="19"/>
      <c r="AK5" s="7" t="s">
        <v>24</v>
      </c>
      <c r="AL5" s="19">
        <v>42</v>
      </c>
      <c r="AM5" s="14">
        <v>1485000</v>
      </c>
      <c r="AO5" s="9" t="s">
        <v>15</v>
      </c>
      <c r="AP5" s="20">
        <v>0.23863636363636365</v>
      </c>
      <c r="AQ5" s="20">
        <v>0.38356164383561642</v>
      </c>
      <c r="AR5" s="20">
        <v>0.30434782608695654</v>
      </c>
      <c r="AS5"/>
      <c r="AT5"/>
      <c r="AU5"/>
    </row>
    <row r="6" spans="1:47" x14ac:dyDescent="0.2">
      <c r="A6" s="7" t="s">
        <v>357</v>
      </c>
      <c r="B6" s="19">
        <v>29</v>
      </c>
      <c r="C6" s="8"/>
      <c r="D6" s="7" t="s">
        <v>23</v>
      </c>
      <c r="E6" s="19">
        <v>20</v>
      </c>
      <c r="F6" s="19"/>
      <c r="G6" s="19"/>
      <c r="H6" s="19">
        <v>20</v>
      </c>
      <c r="J6" s="9" t="s">
        <v>376</v>
      </c>
      <c r="K6" s="19">
        <v>161</v>
      </c>
      <c r="M6" s="7" t="s">
        <v>22</v>
      </c>
      <c r="N6" s="19">
        <v>41</v>
      </c>
      <c r="P6" s="7" t="s">
        <v>37</v>
      </c>
      <c r="Q6" s="19">
        <v>20</v>
      </c>
      <c r="S6" s="7" t="s">
        <v>383</v>
      </c>
      <c r="T6" s="19"/>
      <c r="U6" s="19"/>
      <c r="V6" s="19"/>
      <c r="W6" s="19">
        <v>4</v>
      </c>
      <c r="X6" s="19">
        <v>2</v>
      </c>
      <c r="Y6" s="19">
        <v>3</v>
      </c>
      <c r="Z6" s="19">
        <v>4</v>
      </c>
      <c r="AA6" s="19">
        <v>13</v>
      </c>
      <c r="AB6" s="19"/>
      <c r="AC6" s="19"/>
      <c r="AD6" s="19"/>
      <c r="AE6" s="19"/>
      <c r="AF6" s="19"/>
      <c r="AG6" s="19"/>
      <c r="AH6" s="19"/>
      <c r="AI6" s="19"/>
      <c r="AK6" s="7" t="s">
        <v>35</v>
      </c>
      <c r="AL6" s="19">
        <v>41</v>
      </c>
      <c r="AM6" s="14">
        <v>3224000</v>
      </c>
      <c r="AO6" s="13" t="s">
        <v>363</v>
      </c>
      <c r="AP6" s="20">
        <v>4.5454545454545456E-2</v>
      </c>
      <c r="AQ6" s="20">
        <v>5.4794520547945202E-2</v>
      </c>
      <c r="AR6" s="20">
        <v>4.9689440993788817E-2</v>
      </c>
      <c r="AS6"/>
      <c r="AT6"/>
      <c r="AU6"/>
    </row>
    <row r="7" spans="1:47" x14ac:dyDescent="0.2">
      <c r="A7" s="7" t="s">
        <v>356</v>
      </c>
      <c r="B7" s="19">
        <v>25</v>
      </c>
      <c r="C7" s="8"/>
      <c r="D7" s="7" t="s">
        <v>38</v>
      </c>
      <c r="E7" s="19">
        <v>18</v>
      </c>
      <c r="F7" s="19"/>
      <c r="G7" s="19"/>
      <c r="H7" s="19">
        <v>18</v>
      </c>
      <c r="M7" s="7" t="s">
        <v>33</v>
      </c>
      <c r="N7" s="19">
        <v>29</v>
      </c>
      <c r="P7" s="7" t="s">
        <v>58</v>
      </c>
      <c r="Q7" s="19">
        <v>10</v>
      </c>
      <c r="S7" s="7" t="s">
        <v>387</v>
      </c>
      <c r="T7" s="19"/>
      <c r="U7" s="19"/>
      <c r="V7" s="19">
        <v>4</v>
      </c>
      <c r="W7" s="19">
        <v>1</v>
      </c>
      <c r="X7" s="19"/>
      <c r="Y7" s="19">
        <v>4</v>
      </c>
      <c r="Z7" s="19">
        <v>4</v>
      </c>
      <c r="AA7" s="19">
        <v>13</v>
      </c>
      <c r="AB7" s="19"/>
      <c r="AC7" s="19"/>
      <c r="AD7" s="19"/>
      <c r="AE7" s="19"/>
      <c r="AF7" s="19"/>
      <c r="AG7" s="19"/>
      <c r="AH7" s="19"/>
      <c r="AI7" s="19"/>
      <c r="AK7" s="7" t="s">
        <v>31</v>
      </c>
      <c r="AL7" s="19">
        <v>26</v>
      </c>
      <c r="AM7" s="14">
        <v>1546700</v>
      </c>
      <c r="AO7" s="13" t="s">
        <v>359</v>
      </c>
      <c r="AP7" s="20">
        <v>0.17045454545454544</v>
      </c>
      <c r="AQ7" s="20">
        <v>0.28767123287671231</v>
      </c>
      <c r="AR7" s="20">
        <v>0.2236024844720497</v>
      </c>
      <c r="AS7"/>
      <c r="AT7"/>
      <c r="AU7"/>
    </row>
    <row r="8" spans="1:47" x14ac:dyDescent="0.2">
      <c r="A8" s="7" t="s">
        <v>352</v>
      </c>
      <c r="B8" s="19">
        <v>25</v>
      </c>
      <c r="C8" s="8"/>
      <c r="D8" s="7" t="s">
        <v>42</v>
      </c>
      <c r="E8" s="19"/>
      <c r="F8" s="19">
        <v>17</v>
      </c>
      <c r="G8" s="19"/>
      <c r="H8" s="19">
        <v>17</v>
      </c>
      <c r="M8" s="9" t="s">
        <v>376</v>
      </c>
      <c r="N8" s="19">
        <v>161</v>
      </c>
      <c r="P8" s="9" t="s">
        <v>376</v>
      </c>
      <c r="Q8" s="19">
        <v>161</v>
      </c>
      <c r="S8" s="7" t="s">
        <v>386</v>
      </c>
      <c r="T8" s="19">
        <v>2</v>
      </c>
      <c r="U8" s="19">
        <v>2</v>
      </c>
      <c r="V8" s="19">
        <v>2</v>
      </c>
      <c r="W8" s="19">
        <v>1</v>
      </c>
      <c r="X8" s="19">
        <v>3</v>
      </c>
      <c r="Y8" s="19">
        <v>1</v>
      </c>
      <c r="Z8" s="19">
        <v>2</v>
      </c>
      <c r="AA8" s="19">
        <v>13</v>
      </c>
      <c r="AB8" s="19"/>
      <c r="AC8" s="19"/>
      <c r="AD8" s="19"/>
      <c r="AE8" s="19"/>
      <c r="AF8" s="19"/>
      <c r="AG8" s="19"/>
      <c r="AH8" s="19"/>
      <c r="AI8" s="19"/>
      <c r="AK8" s="9" t="s">
        <v>376</v>
      </c>
      <c r="AL8" s="19">
        <v>161</v>
      </c>
      <c r="AM8" s="14">
        <v>8731200</v>
      </c>
      <c r="AO8" s="13" t="s">
        <v>365</v>
      </c>
      <c r="AP8" s="20">
        <v>2.2727272727272728E-2</v>
      </c>
      <c r="AQ8" s="20">
        <v>4.1095890410958902E-2</v>
      </c>
      <c r="AR8" s="20">
        <v>3.1055900621118012E-2</v>
      </c>
      <c r="AS8"/>
      <c r="AT8"/>
      <c r="AU8"/>
    </row>
    <row r="9" spans="1:47" x14ac:dyDescent="0.2">
      <c r="A9" s="7" t="s">
        <v>355</v>
      </c>
      <c r="B9" s="19">
        <v>10</v>
      </c>
      <c r="C9" s="8"/>
      <c r="D9" s="7" t="s">
        <v>17</v>
      </c>
      <c r="E9" s="19"/>
      <c r="F9" s="19">
        <v>17</v>
      </c>
      <c r="G9" s="19"/>
      <c r="H9" s="19">
        <v>17</v>
      </c>
      <c r="S9" s="7" t="s">
        <v>392</v>
      </c>
      <c r="T9" s="19">
        <v>1</v>
      </c>
      <c r="U9" s="19">
        <v>1</v>
      </c>
      <c r="V9" s="19">
        <v>1</v>
      </c>
      <c r="W9" s="19">
        <v>2</v>
      </c>
      <c r="X9" s="19">
        <v>4</v>
      </c>
      <c r="Y9" s="19">
        <v>3</v>
      </c>
      <c r="Z9" s="19">
        <v>3</v>
      </c>
      <c r="AA9" s="19">
        <v>15</v>
      </c>
      <c r="AB9" s="19"/>
      <c r="AC9" s="19"/>
      <c r="AD9" s="19"/>
      <c r="AE9" s="19"/>
      <c r="AF9" s="19"/>
      <c r="AG9" s="19"/>
      <c r="AH9" s="19"/>
      <c r="AI9" s="19"/>
      <c r="AK9"/>
      <c r="AL9"/>
      <c r="AM9"/>
      <c r="AO9" s="9" t="s">
        <v>22</v>
      </c>
      <c r="AP9" s="20">
        <v>0.32954545454545453</v>
      </c>
      <c r="AQ9" s="20">
        <v>0.16438356164383561</v>
      </c>
      <c r="AR9" s="20">
        <v>0.25465838509316768</v>
      </c>
      <c r="AS9"/>
      <c r="AT9"/>
      <c r="AU9"/>
    </row>
    <row r="10" spans="1:47" x14ac:dyDescent="0.2">
      <c r="A10" s="7" t="s">
        <v>358</v>
      </c>
      <c r="B10" s="19">
        <v>8</v>
      </c>
      <c r="C10" s="8"/>
      <c r="D10" s="7" t="s">
        <v>44</v>
      </c>
      <c r="E10" s="19"/>
      <c r="F10" s="19">
        <v>16</v>
      </c>
      <c r="G10" s="19"/>
      <c r="H10" s="19">
        <v>16</v>
      </c>
      <c r="S10" s="7" t="s">
        <v>382</v>
      </c>
      <c r="T10" s="19">
        <v>2</v>
      </c>
      <c r="U10" s="19">
        <v>1</v>
      </c>
      <c r="V10" s="19">
        <v>4</v>
      </c>
      <c r="W10" s="19">
        <v>4</v>
      </c>
      <c r="X10" s="19">
        <v>3</v>
      </c>
      <c r="Y10" s="19"/>
      <c r="Z10" s="19">
        <v>1</v>
      </c>
      <c r="AA10" s="19">
        <v>15</v>
      </c>
      <c r="AB10" s="19"/>
      <c r="AC10" s="19"/>
      <c r="AD10" s="19"/>
      <c r="AE10" s="19"/>
      <c r="AF10" s="19"/>
      <c r="AG10" s="19"/>
      <c r="AH10" s="19"/>
      <c r="AI10" s="19"/>
      <c r="AK10"/>
      <c r="AL10"/>
      <c r="AM10"/>
      <c r="AO10" s="13" t="s">
        <v>363</v>
      </c>
      <c r="AP10" s="20">
        <v>0.14772727272727273</v>
      </c>
      <c r="AQ10" s="20">
        <v>4.1095890410958902E-2</v>
      </c>
      <c r="AR10" s="20">
        <v>9.9378881987577633E-2</v>
      </c>
      <c r="AS10"/>
      <c r="AT10"/>
      <c r="AU10"/>
    </row>
    <row r="11" spans="1:47" x14ac:dyDescent="0.2">
      <c r="A11" s="9" t="s">
        <v>376</v>
      </c>
      <c r="B11" s="19">
        <v>161</v>
      </c>
      <c r="C11" s="8"/>
      <c r="D11" s="7" t="s">
        <v>46</v>
      </c>
      <c r="E11" s="19"/>
      <c r="F11" s="19">
        <v>16</v>
      </c>
      <c r="G11" s="19"/>
      <c r="H11" s="19">
        <v>16</v>
      </c>
      <c r="S11" s="7" t="s">
        <v>389</v>
      </c>
      <c r="T11" s="19">
        <v>2</v>
      </c>
      <c r="U11" s="19">
        <v>1</v>
      </c>
      <c r="V11" s="19">
        <v>3</v>
      </c>
      <c r="W11" s="19">
        <v>6</v>
      </c>
      <c r="X11" s="19">
        <v>2</v>
      </c>
      <c r="Y11" s="19">
        <v>2</v>
      </c>
      <c r="Z11" s="19"/>
      <c r="AA11" s="19">
        <v>16</v>
      </c>
      <c r="AB11" s="19"/>
      <c r="AC11" s="19"/>
      <c r="AD11" s="19"/>
      <c r="AE11" s="19"/>
      <c r="AF11" s="19"/>
      <c r="AG11" s="19"/>
      <c r="AH11" s="19"/>
      <c r="AI11" s="19"/>
      <c r="AK11"/>
      <c r="AL11"/>
      <c r="AM11"/>
      <c r="AO11" s="13" t="s">
        <v>359</v>
      </c>
      <c r="AP11" s="20">
        <v>0.17045454545454544</v>
      </c>
      <c r="AQ11" s="20">
        <v>8.2191780821917804E-2</v>
      </c>
      <c r="AR11" s="20">
        <v>0.13043478260869565</v>
      </c>
      <c r="AS11"/>
      <c r="AT11"/>
      <c r="AU11"/>
    </row>
    <row r="12" spans="1:47" x14ac:dyDescent="0.2">
      <c r="A12"/>
      <c r="B12"/>
      <c r="C12" s="8"/>
      <c r="D12" s="7" t="s">
        <v>34</v>
      </c>
      <c r="E12" s="19"/>
      <c r="F12" s="19">
        <v>15</v>
      </c>
      <c r="G12" s="19"/>
      <c r="H12" s="19">
        <v>15</v>
      </c>
      <c r="S12" s="7" t="s">
        <v>390</v>
      </c>
      <c r="T12" s="19">
        <v>1</v>
      </c>
      <c r="U12" s="19">
        <v>1</v>
      </c>
      <c r="V12" s="19">
        <v>4</v>
      </c>
      <c r="W12" s="19">
        <v>1</v>
      </c>
      <c r="X12" s="19">
        <v>2</v>
      </c>
      <c r="Y12" s="19">
        <v>2</v>
      </c>
      <c r="Z12" s="19"/>
      <c r="AA12" s="19">
        <v>11</v>
      </c>
      <c r="AB12" s="19"/>
      <c r="AC12" s="19"/>
      <c r="AD12" s="19"/>
      <c r="AE12" s="19"/>
      <c r="AF12" s="19"/>
      <c r="AG12" s="19"/>
      <c r="AH12" s="19"/>
      <c r="AI12" s="19"/>
      <c r="AK12"/>
      <c r="AL12"/>
      <c r="AM12"/>
      <c r="AO12" s="13" t="s">
        <v>365</v>
      </c>
      <c r="AP12" s="20">
        <v>1.1363636363636364E-2</v>
      </c>
      <c r="AQ12" s="20">
        <v>4.1095890410958902E-2</v>
      </c>
      <c r="AR12" s="20">
        <v>2.4844720496894408E-2</v>
      </c>
      <c r="AS12"/>
      <c r="AT12"/>
      <c r="AU12"/>
    </row>
    <row r="13" spans="1:47" x14ac:dyDescent="0.2">
      <c r="C13" s="8"/>
      <c r="D13" s="7" t="s">
        <v>30</v>
      </c>
      <c r="E13" s="19"/>
      <c r="F13" s="19">
        <v>10</v>
      </c>
      <c r="G13" s="19"/>
      <c r="H13" s="19">
        <v>10</v>
      </c>
      <c r="S13" s="7" t="s">
        <v>384</v>
      </c>
      <c r="T13" s="19"/>
      <c r="U13" s="19">
        <v>7</v>
      </c>
      <c r="V13" s="19">
        <v>4</v>
      </c>
      <c r="W13" s="19">
        <v>4</v>
      </c>
      <c r="X13" s="19">
        <v>2</v>
      </c>
      <c r="Y13" s="19">
        <v>2</v>
      </c>
      <c r="Z13" s="19"/>
      <c r="AA13" s="19">
        <v>19</v>
      </c>
      <c r="AB13" s="19"/>
      <c r="AC13" s="19"/>
      <c r="AD13" s="19"/>
      <c r="AE13" s="19"/>
      <c r="AF13" s="19"/>
      <c r="AG13" s="19"/>
      <c r="AH13" s="19"/>
      <c r="AI13" s="19"/>
      <c r="AK13"/>
      <c r="AL13"/>
      <c r="AM13"/>
      <c r="AO13" s="9" t="s">
        <v>26</v>
      </c>
      <c r="AP13" s="20">
        <v>0.30681818181818182</v>
      </c>
      <c r="AQ13" s="20">
        <v>0.20547945205479451</v>
      </c>
      <c r="AR13" s="20">
        <v>0.2608695652173913</v>
      </c>
      <c r="AS13"/>
      <c r="AT13"/>
      <c r="AU13"/>
    </row>
    <row r="14" spans="1:47" x14ac:dyDescent="0.2">
      <c r="C14" s="8"/>
      <c r="D14" s="7" t="s">
        <v>51</v>
      </c>
      <c r="E14" s="19"/>
      <c r="F14" s="19">
        <v>10</v>
      </c>
      <c r="G14" s="19"/>
      <c r="H14" s="19">
        <v>10</v>
      </c>
      <c r="S14" s="7" t="s">
        <v>391</v>
      </c>
      <c r="T14" s="19">
        <v>1</v>
      </c>
      <c r="U14" s="19">
        <v>4</v>
      </c>
      <c r="V14" s="19">
        <v>2</v>
      </c>
      <c r="W14" s="19">
        <v>1</v>
      </c>
      <c r="X14" s="19">
        <v>3</v>
      </c>
      <c r="Y14" s="19">
        <v>1</v>
      </c>
      <c r="Z14" s="19"/>
      <c r="AA14" s="19">
        <v>12</v>
      </c>
      <c r="AB14" s="19"/>
      <c r="AC14" s="19"/>
      <c r="AD14" s="19"/>
      <c r="AE14" s="19"/>
      <c r="AF14" s="19"/>
      <c r="AG14" s="19"/>
      <c r="AH14" s="19"/>
      <c r="AI14" s="19"/>
      <c r="AK14"/>
      <c r="AL14"/>
      <c r="AM14"/>
      <c r="AO14" s="13" t="s">
        <v>363</v>
      </c>
      <c r="AP14" s="20">
        <v>3.4090909090909088E-2</v>
      </c>
      <c r="AQ14" s="20">
        <v>9.5890410958904104E-2</v>
      </c>
      <c r="AR14" s="20">
        <v>6.2111801242236024E-2</v>
      </c>
      <c r="AS14"/>
      <c r="AT14"/>
      <c r="AU14"/>
    </row>
    <row r="15" spans="1:47" x14ac:dyDescent="0.2">
      <c r="C15" s="8"/>
      <c r="D15" s="9" t="s">
        <v>376</v>
      </c>
      <c r="E15" s="19">
        <v>38</v>
      </c>
      <c r="F15" s="19">
        <v>101</v>
      </c>
      <c r="G15" s="19">
        <v>22</v>
      </c>
      <c r="H15" s="19">
        <v>161</v>
      </c>
      <c r="S15" s="7" t="s">
        <v>385</v>
      </c>
      <c r="T15" s="19">
        <v>1</v>
      </c>
      <c r="U15" s="19">
        <v>4</v>
      </c>
      <c r="V15" s="19">
        <v>3</v>
      </c>
      <c r="W15" s="19">
        <v>1</v>
      </c>
      <c r="X15" s="19">
        <v>3</v>
      </c>
      <c r="Y15" s="19">
        <v>2</v>
      </c>
      <c r="Z15" s="19"/>
      <c r="AA15" s="19">
        <v>14</v>
      </c>
      <c r="AB15" s="19"/>
      <c r="AC15" s="19"/>
      <c r="AD15" s="19"/>
      <c r="AE15" s="19"/>
      <c r="AF15" s="19"/>
      <c r="AG15" s="19"/>
      <c r="AH15" s="19"/>
      <c r="AI15" s="19"/>
      <c r="AK15"/>
      <c r="AL15"/>
      <c r="AM15"/>
      <c r="AO15" s="13" t="s">
        <v>359</v>
      </c>
      <c r="AP15" s="20">
        <v>0.17045454545454544</v>
      </c>
      <c r="AQ15" s="20">
        <v>5.4794520547945202E-2</v>
      </c>
      <c r="AR15" s="20">
        <v>0.11801242236024845</v>
      </c>
      <c r="AS15"/>
      <c r="AT15"/>
      <c r="AU15"/>
    </row>
    <row r="16" spans="1:47" x14ac:dyDescent="0.2">
      <c r="C16" s="8"/>
      <c r="S16" s="7" t="s">
        <v>393</v>
      </c>
      <c r="T16" s="19"/>
      <c r="U16" s="19">
        <v>2</v>
      </c>
      <c r="V16" s="19">
        <v>2</v>
      </c>
      <c r="W16" s="19">
        <v>1</v>
      </c>
      <c r="X16" s="19">
        <v>2</v>
      </c>
      <c r="Y16" s="19">
        <v>2</v>
      </c>
      <c r="Z16" s="19"/>
      <c r="AA16" s="19">
        <v>9</v>
      </c>
      <c r="AB16" s="19"/>
      <c r="AC16" s="19"/>
      <c r="AD16" s="19"/>
      <c r="AE16" s="19"/>
      <c r="AF16" s="19"/>
      <c r="AG16" s="19"/>
      <c r="AH16" s="19"/>
      <c r="AI16" s="19"/>
      <c r="AK16"/>
      <c r="AL16"/>
      <c r="AM16"/>
      <c r="AO16" s="13" t="s">
        <v>365</v>
      </c>
      <c r="AP16" s="20">
        <v>0.10227272727272728</v>
      </c>
      <c r="AQ16" s="20">
        <v>5.4794520547945202E-2</v>
      </c>
      <c r="AR16" s="20">
        <v>8.0745341614906832E-2</v>
      </c>
      <c r="AS16"/>
      <c r="AT16"/>
      <c r="AU16"/>
    </row>
    <row r="17" spans="3:47" x14ac:dyDescent="0.2">
      <c r="C17" s="8"/>
      <c r="S17" s="9" t="s">
        <v>376</v>
      </c>
      <c r="T17" s="19">
        <v>10</v>
      </c>
      <c r="U17" s="19">
        <v>23</v>
      </c>
      <c r="V17" s="19">
        <v>29</v>
      </c>
      <c r="W17" s="19">
        <v>29</v>
      </c>
      <c r="X17" s="19">
        <v>27</v>
      </c>
      <c r="Y17" s="19">
        <v>23</v>
      </c>
      <c r="Z17" s="19">
        <v>20</v>
      </c>
      <c r="AA17" s="19">
        <v>161</v>
      </c>
      <c r="AB17" s="19"/>
      <c r="AC17" s="19"/>
      <c r="AD17" s="19"/>
      <c r="AE17" s="19"/>
      <c r="AF17" s="19"/>
      <c r="AG17" s="19"/>
      <c r="AH17" s="19"/>
      <c r="AI17" s="19"/>
      <c r="AK17"/>
      <c r="AL17"/>
      <c r="AM17"/>
      <c r="AO17" s="9" t="s">
        <v>33</v>
      </c>
      <c r="AP17" s="20">
        <v>0.125</v>
      </c>
      <c r="AQ17" s="20">
        <v>0.24657534246575341</v>
      </c>
      <c r="AR17" s="20">
        <v>0.18012422360248448</v>
      </c>
      <c r="AS17"/>
      <c r="AT17"/>
      <c r="AU17"/>
    </row>
    <row r="18" spans="3:47" x14ac:dyDescent="0.2">
      <c r="C18" s="8"/>
      <c r="S18"/>
      <c r="T18"/>
      <c r="U18"/>
      <c r="V18"/>
      <c r="W18"/>
      <c r="X18"/>
      <c r="Y18"/>
      <c r="Z18"/>
      <c r="AA18"/>
      <c r="AB18"/>
      <c r="AC18"/>
      <c r="AD18"/>
      <c r="AE18"/>
      <c r="AF18"/>
      <c r="AG18"/>
      <c r="AH18"/>
      <c r="AI18"/>
      <c r="AK18"/>
      <c r="AL18"/>
      <c r="AM18"/>
      <c r="AO18" s="13" t="s">
        <v>363</v>
      </c>
      <c r="AP18" s="20">
        <v>0</v>
      </c>
      <c r="AQ18" s="20">
        <v>5.4794520547945202E-2</v>
      </c>
      <c r="AR18" s="20">
        <v>2.4844720496894408E-2</v>
      </c>
      <c r="AS18"/>
      <c r="AT18"/>
      <c r="AU18"/>
    </row>
    <row r="19" spans="3:47" x14ac:dyDescent="0.2">
      <c r="C19" s="8"/>
      <c r="S19"/>
      <c r="T19"/>
      <c r="U19"/>
      <c r="V19"/>
      <c r="W19"/>
      <c r="X19"/>
      <c r="Y19"/>
      <c r="Z19"/>
      <c r="AA19"/>
      <c r="AB19"/>
      <c r="AC19"/>
      <c r="AD19"/>
      <c r="AE19"/>
      <c r="AF19"/>
      <c r="AG19"/>
      <c r="AH19"/>
      <c r="AI19"/>
      <c r="AK19"/>
      <c r="AL19"/>
      <c r="AM19"/>
      <c r="AO19" s="13" t="s">
        <v>359</v>
      </c>
      <c r="AP19" s="20">
        <v>0.125</v>
      </c>
      <c r="AQ19" s="20">
        <v>0.19178082191780821</v>
      </c>
      <c r="AR19" s="20">
        <v>0.15527950310559005</v>
      </c>
      <c r="AS19"/>
      <c r="AT19"/>
      <c r="AU19"/>
    </row>
    <row r="20" spans="3:47" x14ac:dyDescent="0.2">
      <c r="C20" s="8"/>
      <c r="S20"/>
      <c r="T20"/>
      <c r="U20"/>
      <c r="V20"/>
      <c r="W20"/>
      <c r="X20"/>
      <c r="Y20"/>
      <c r="Z20"/>
      <c r="AA20"/>
      <c r="AB20"/>
      <c r="AC20"/>
      <c r="AD20"/>
      <c r="AE20"/>
      <c r="AF20"/>
      <c r="AG20"/>
      <c r="AH20"/>
      <c r="AI20"/>
      <c r="AK20"/>
      <c r="AL20"/>
      <c r="AM20"/>
      <c r="AO20" s="9" t="s">
        <v>376</v>
      </c>
      <c r="AP20" s="20">
        <v>1</v>
      </c>
      <c r="AQ20" s="20">
        <v>1</v>
      </c>
      <c r="AR20" s="20">
        <v>1</v>
      </c>
      <c r="AS20"/>
      <c r="AT20"/>
      <c r="AU20"/>
    </row>
    <row r="21" spans="3:47" x14ac:dyDescent="0.2">
      <c r="C21" s="8"/>
      <c r="S21"/>
      <c r="T21"/>
      <c r="U21"/>
      <c r="V21"/>
      <c r="W21"/>
      <c r="X21"/>
      <c r="Y21"/>
      <c r="Z21"/>
      <c r="AA21"/>
      <c r="AB21"/>
      <c r="AC21"/>
      <c r="AD21"/>
      <c r="AE21"/>
      <c r="AF21"/>
      <c r="AG21"/>
      <c r="AH21"/>
      <c r="AI21"/>
      <c r="AK21"/>
      <c r="AL21"/>
      <c r="AM21"/>
      <c r="AO21"/>
      <c r="AP21"/>
      <c r="AQ21"/>
      <c r="AR21"/>
      <c r="AS21"/>
      <c r="AT21"/>
      <c r="AU21"/>
    </row>
    <row r="22" spans="3:47" x14ac:dyDescent="0.2">
      <c r="I22" s="9"/>
      <c r="L22" s="9"/>
      <c r="O22" s="9"/>
      <c r="R22" s="9"/>
      <c r="S22"/>
      <c r="T22"/>
      <c r="U22"/>
      <c r="V22"/>
      <c r="W22"/>
      <c r="X22"/>
      <c r="Y22"/>
      <c r="Z22"/>
      <c r="AA22"/>
      <c r="AB22"/>
      <c r="AC22"/>
      <c r="AD22"/>
      <c r="AE22"/>
      <c r="AF22"/>
      <c r="AG22"/>
      <c r="AH22"/>
      <c r="AI22"/>
      <c r="AJ22" s="9"/>
      <c r="AK22"/>
      <c r="AL22"/>
      <c r="AM22"/>
      <c r="AN22" s="9"/>
      <c r="AO22"/>
      <c r="AP22"/>
      <c r="AQ22"/>
      <c r="AR22"/>
      <c r="AS22"/>
      <c r="AT22"/>
      <c r="AU22"/>
    </row>
    <row r="23" spans="3:47" x14ac:dyDescent="0.2">
      <c r="I23" s="9"/>
      <c r="L23" s="9"/>
      <c r="O23" s="9"/>
      <c r="R23" s="9"/>
      <c r="S23"/>
      <c r="T23"/>
      <c r="U23"/>
      <c r="V23"/>
      <c r="W23"/>
      <c r="X23"/>
      <c r="Y23"/>
      <c r="Z23"/>
      <c r="AA23"/>
      <c r="AB23"/>
      <c r="AC23"/>
      <c r="AD23"/>
      <c r="AE23"/>
      <c r="AF23"/>
      <c r="AG23"/>
      <c r="AH23"/>
      <c r="AI23"/>
      <c r="AJ23" s="9"/>
      <c r="AK23"/>
      <c r="AL23"/>
      <c r="AM23"/>
      <c r="AN23" s="9"/>
      <c r="AO23"/>
      <c r="AP23"/>
      <c r="AQ23"/>
      <c r="AR23"/>
      <c r="AS23"/>
      <c r="AT23"/>
      <c r="AU23"/>
    </row>
    <row r="24" spans="3:47" x14ac:dyDescent="0.2">
      <c r="I24" s="9"/>
      <c r="L24" s="9"/>
      <c r="O24" s="9"/>
      <c r="R24" s="9"/>
      <c r="S24"/>
      <c r="T24"/>
      <c r="U24"/>
      <c r="V24"/>
      <c r="W24"/>
      <c r="X24"/>
      <c r="Y24"/>
      <c r="Z24"/>
      <c r="AA24"/>
      <c r="AB24"/>
      <c r="AC24"/>
      <c r="AD24"/>
      <c r="AE24"/>
      <c r="AF24"/>
      <c r="AG24"/>
      <c r="AH24"/>
      <c r="AI24"/>
      <c r="AJ24" s="9"/>
      <c r="AK24"/>
      <c r="AL24"/>
      <c r="AM24"/>
      <c r="AN24" s="9"/>
      <c r="AO24"/>
      <c r="AP24"/>
      <c r="AQ24"/>
      <c r="AR24"/>
      <c r="AS24"/>
      <c r="AT24"/>
      <c r="AU24"/>
    </row>
    <row r="25" spans="3:47" x14ac:dyDescent="0.2">
      <c r="I25" s="9"/>
      <c r="L25" s="9"/>
      <c r="O25" s="9"/>
      <c r="R25" s="9"/>
      <c r="S25"/>
      <c r="T25"/>
      <c r="U25"/>
      <c r="V25"/>
      <c r="W25"/>
      <c r="X25"/>
      <c r="Y25"/>
      <c r="Z25"/>
      <c r="AA25"/>
      <c r="AB25"/>
      <c r="AC25"/>
      <c r="AD25"/>
      <c r="AE25"/>
      <c r="AF25"/>
      <c r="AG25"/>
      <c r="AH25"/>
      <c r="AI25"/>
      <c r="AJ25" s="9"/>
      <c r="AK25"/>
      <c r="AL25"/>
      <c r="AM25"/>
      <c r="AN25" s="9"/>
      <c r="AO25"/>
      <c r="AP25"/>
      <c r="AQ25"/>
      <c r="AR25"/>
      <c r="AS25"/>
      <c r="AT25"/>
      <c r="AU25"/>
    </row>
    <row r="26" spans="3:47" x14ac:dyDescent="0.2">
      <c r="I26" s="9"/>
      <c r="L26" s="9"/>
      <c r="O26" s="9"/>
      <c r="R26" s="9"/>
      <c r="S26"/>
      <c r="T26"/>
      <c r="U26"/>
      <c r="V26"/>
      <c r="W26"/>
      <c r="X26"/>
      <c r="Y26"/>
      <c r="Z26"/>
      <c r="AA26"/>
      <c r="AB26"/>
      <c r="AC26"/>
      <c r="AD26"/>
      <c r="AE26"/>
      <c r="AF26"/>
      <c r="AG26"/>
      <c r="AH26"/>
      <c r="AI26"/>
      <c r="AJ26" s="9"/>
      <c r="AK26"/>
      <c r="AL26"/>
      <c r="AM26"/>
      <c r="AN26" s="9"/>
      <c r="AO26"/>
      <c r="AP26"/>
      <c r="AQ26"/>
      <c r="AR26"/>
      <c r="AS26"/>
      <c r="AT26"/>
      <c r="AU26"/>
    </row>
    <row r="27" spans="3:47" x14ac:dyDescent="0.2">
      <c r="I27" s="9"/>
      <c r="L27" s="9"/>
      <c r="O27" s="9"/>
      <c r="R27" s="9"/>
      <c r="S27"/>
      <c r="T27"/>
      <c r="U27"/>
      <c r="V27"/>
      <c r="W27"/>
      <c r="X27"/>
      <c r="Y27"/>
      <c r="Z27"/>
      <c r="AA27"/>
      <c r="AB27"/>
      <c r="AC27"/>
      <c r="AD27"/>
      <c r="AE27"/>
      <c r="AF27"/>
      <c r="AG27"/>
      <c r="AH27"/>
      <c r="AI27"/>
      <c r="AJ27" s="9"/>
      <c r="AK27"/>
      <c r="AL27"/>
      <c r="AM27"/>
      <c r="AN27" s="9"/>
      <c r="AO27"/>
      <c r="AP27"/>
      <c r="AQ27"/>
      <c r="AR27"/>
      <c r="AS27"/>
      <c r="AT27"/>
      <c r="AU27"/>
    </row>
    <row r="28" spans="3:47" x14ac:dyDescent="0.2">
      <c r="I28" s="9"/>
      <c r="L28" s="9"/>
      <c r="O28" s="9"/>
      <c r="R28" s="9"/>
      <c r="S28"/>
      <c r="T28"/>
      <c r="U28"/>
      <c r="V28"/>
      <c r="W28"/>
      <c r="X28"/>
      <c r="Y28"/>
      <c r="Z28"/>
      <c r="AA28"/>
      <c r="AB28"/>
      <c r="AC28"/>
      <c r="AD28"/>
      <c r="AE28"/>
      <c r="AF28"/>
      <c r="AG28"/>
      <c r="AH28"/>
      <c r="AI28"/>
      <c r="AJ28" s="9"/>
      <c r="AK28"/>
      <c r="AL28"/>
      <c r="AM28"/>
      <c r="AN28" s="9"/>
      <c r="AO28"/>
      <c r="AP28"/>
      <c r="AQ28"/>
      <c r="AR28"/>
      <c r="AS28"/>
      <c r="AT28"/>
      <c r="AU28"/>
    </row>
    <row r="29" spans="3:47" x14ac:dyDescent="0.2">
      <c r="I29" s="9"/>
      <c r="L29" s="9"/>
      <c r="O29" s="9"/>
      <c r="R29" s="9"/>
      <c r="S29"/>
      <c r="T29"/>
      <c r="U29"/>
      <c r="V29"/>
      <c r="W29"/>
      <c r="X29"/>
      <c r="Y29"/>
      <c r="Z29"/>
      <c r="AA29"/>
      <c r="AB29"/>
      <c r="AC29"/>
      <c r="AD29"/>
      <c r="AE29"/>
      <c r="AF29"/>
      <c r="AG29"/>
      <c r="AH29"/>
      <c r="AI29"/>
      <c r="AJ29" s="9"/>
      <c r="AK29"/>
      <c r="AL29"/>
      <c r="AM29"/>
      <c r="AN29" s="9"/>
      <c r="AO29"/>
      <c r="AP29"/>
      <c r="AQ29"/>
      <c r="AR29"/>
      <c r="AS29"/>
      <c r="AT29"/>
      <c r="AU29"/>
    </row>
    <row r="30" spans="3:47" x14ac:dyDescent="0.2">
      <c r="I30" s="9"/>
      <c r="L30" s="9"/>
      <c r="O30" s="9"/>
      <c r="R30" s="9"/>
      <c r="S30"/>
      <c r="T30"/>
      <c r="U30"/>
      <c r="V30"/>
      <c r="W30"/>
      <c r="X30"/>
      <c r="Y30"/>
      <c r="Z30"/>
      <c r="AA30"/>
      <c r="AB30"/>
      <c r="AC30"/>
      <c r="AD30"/>
      <c r="AE30"/>
      <c r="AF30"/>
      <c r="AG30"/>
      <c r="AH30"/>
      <c r="AI30"/>
      <c r="AJ30" s="9"/>
      <c r="AK30"/>
      <c r="AL30"/>
      <c r="AM30"/>
      <c r="AN30" s="9"/>
      <c r="AO30"/>
      <c r="AP30"/>
      <c r="AQ30"/>
      <c r="AR30"/>
      <c r="AS30"/>
      <c r="AT30"/>
      <c r="AU30"/>
    </row>
    <row r="31" spans="3:47" x14ac:dyDescent="0.2">
      <c r="I31" s="9"/>
      <c r="L31" s="9"/>
      <c r="O31" s="9"/>
      <c r="R31" s="9"/>
      <c r="S31"/>
      <c r="T31"/>
      <c r="U31"/>
      <c r="V31"/>
      <c r="W31"/>
      <c r="X31"/>
      <c r="Y31"/>
      <c r="Z31"/>
      <c r="AA31"/>
      <c r="AB31"/>
      <c r="AC31"/>
      <c r="AD31"/>
      <c r="AE31"/>
      <c r="AF31"/>
      <c r="AG31"/>
      <c r="AH31"/>
      <c r="AI31"/>
      <c r="AJ31" s="9"/>
      <c r="AK31"/>
      <c r="AL31"/>
      <c r="AM31"/>
      <c r="AN31" s="9"/>
      <c r="AO31"/>
      <c r="AP31"/>
      <c r="AQ31"/>
      <c r="AR31"/>
      <c r="AS31"/>
      <c r="AT31"/>
      <c r="AU31"/>
    </row>
    <row r="32" spans="3:47" x14ac:dyDescent="0.2">
      <c r="I32" s="9"/>
      <c r="L32" s="9"/>
      <c r="O32" s="9"/>
      <c r="R32" s="9"/>
      <c r="S32"/>
      <c r="T32"/>
      <c r="U32"/>
      <c r="V32"/>
      <c r="W32"/>
      <c r="X32"/>
      <c r="Y32"/>
      <c r="Z32"/>
      <c r="AA32"/>
      <c r="AB32"/>
      <c r="AC32"/>
      <c r="AD32"/>
      <c r="AE32"/>
      <c r="AF32"/>
      <c r="AG32"/>
      <c r="AH32"/>
      <c r="AI32"/>
      <c r="AJ32" s="9"/>
      <c r="AK32"/>
      <c r="AL32"/>
      <c r="AM32"/>
      <c r="AN32" s="9"/>
      <c r="AO32"/>
      <c r="AP32"/>
      <c r="AQ32"/>
      <c r="AR32"/>
      <c r="AS32"/>
      <c r="AT32"/>
      <c r="AU32"/>
    </row>
    <row r="33" spans="9:47" x14ac:dyDescent="0.2">
      <c r="I33" s="9"/>
      <c r="L33" s="9"/>
      <c r="O33" s="9"/>
      <c r="R33" s="9"/>
      <c r="S33"/>
      <c r="T33"/>
      <c r="U33"/>
      <c r="V33"/>
      <c r="W33"/>
      <c r="X33"/>
      <c r="Y33"/>
      <c r="Z33"/>
      <c r="AA33"/>
      <c r="AB33"/>
      <c r="AC33"/>
      <c r="AD33"/>
      <c r="AE33"/>
      <c r="AF33"/>
      <c r="AG33"/>
      <c r="AH33"/>
      <c r="AI33"/>
      <c r="AJ33" s="9"/>
      <c r="AK33"/>
      <c r="AL33"/>
      <c r="AM33"/>
      <c r="AN33" s="9"/>
      <c r="AO33"/>
      <c r="AP33"/>
      <c r="AQ33"/>
      <c r="AR33"/>
      <c r="AS33"/>
      <c r="AT33"/>
      <c r="AU33"/>
    </row>
    <row r="34" spans="9:47" x14ac:dyDescent="0.2">
      <c r="I34" s="9"/>
      <c r="L34" s="9"/>
      <c r="O34" s="9"/>
      <c r="R34" s="9"/>
      <c r="S34"/>
      <c r="T34"/>
      <c r="U34"/>
      <c r="V34"/>
      <c r="W34"/>
      <c r="X34"/>
      <c r="Y34"/>
      <c r="Z34"/>
      <c r="AA34"/>
      <c r="AB34"/>
      <c r="AC34"/>
      <c r="AD34"/>
      <c r="AE34"/>
      <c r="AF34"/>
      <c r="AG34"/>
      <c r="AH34"/>
      <c r="AI34"/>
      <c r="AJ34" s="9"/>
      <c r="AK34"/>
      <c r="AL34"/>
      <c r="AM34"/>
      <c r="AN34" s="9"/>
      <c r="AO34"/>
      <c r="AP34"/>
      <c r="AQ34"/>
      <c r="AR34"/>
      <c r="AS34"/>
      <c r="AT34"/>
      <c r="AU34"/>
    </row>
    <row r="35" spans="9:47" x14ac:dyDescent="0.2">
      <c r="I35" s="9"/>
      <c r="L35" s="9"/>
      <c r="O35" s="9"/>
      <c r="R35" s="9"/>
      <c r="S35"/>
      <c r="T35"/>
      <c r="U35"/>
      <c r="V35"/>
      <c r="W35"/>
      <c r="X35"/>
      <c r="Y35"/>
      <c r="Z35"/>
      <c r="AA35"/>
      <c r="AB35"/>
      <c r="AC35"/>
      <c r="AD35"/>
      <c r="AE35"/>
      <c r="AF35"/>
      <c r="AG35"/>
      <c r="AH35"/>
      <c r="AI35"/>
      <c r="AJ35" s="9"/>
      <c r="AK35"/>
      <c r="AL35"/>
      <c r="AM35"/>
      <c r="AN35" s="9"/>
      <c r="AO35"/>
      <c r="AP35"/>
      <c r="AQ35"/>
      <c r="AR35"/>
      <c r="AS35"/>
      <c r="AT35"/>
      <c r="AU35"/>
    </row>
    <row r="36" spans="9:47" x14ac:dyDescent="0.2">
      <c r="I36" s="9"/>
      <c r="L36" s="9"/>
      <c r="O36" s="9"/>
      <c r="R36" s="9"/>
      <c r="S36"/>
      <c r="T36"/>
      <c r="U36"/>
      <c r="V36"/>
      <c r="W36"/>
      <c r="X36"/>
      <c r="Y36"/>
      <c r="Z36"/>
      <c r="AA36"/>
      <c r="AB36"/>
      <c r="AC36"/>
      <c r="AD36"/>
      <c r="AE36"/>
      <c r="AF36"/>
      <c r="AG36"/>
      <c r="AH36"/>
      <c r="AI36"/>
      <c r="AJ36" s="9"/>
      <c r="AK36"/>
      <c r="AL36"/>
      <c r="AM36"/>
      <c r="AN36" s="9"/>
      <c r="AO36"/>
      <c r="AP36"/>
      <c r="AQ36"/>
      <c r="AR36"/>
      <c r="AS36"/>
      <c r="AT36"/>
      <c r="AU36"/>
    </row>
    <row r="37" spans="9:47" x14ac:dyDescent="0.2">
      <c r="I37" s="9"/>
      <c r="L37" s="9"/>
      <c r="O37" s="9"/>
      <c r="R37" s="9"/>
      <c r="S37"/>
      <c r="T37"/>
      <c r="U37"/>
      <c r="V37"/>
      <c r="W37"/>
      <c r="X37"/>
      <c r="Y37"/>
      <c r="Z37"/>
      <c r="AA37"/>
      <c r="AB37"/>
      <c r="AC37"/>
      <c r="AD37"/>
      <c r="AE37"/>
      <c r="AF37"/>
      <c r="AG37"/>
      <c r="AH37"/>
      <c r="AI37"/>
      <c r="AJ37" s="9"/>
      <c r="AK37"/>
      <c r="AL37"/>
      <c r="AM37"/>
      <c r="AN37" s="9"/>
      <c r="AO37"/>
      <c r="AP37"/>
      <c r="AQ37"/>
      <c r="AR37"/>
      <c r="AS37"/>
      <c r="AT37"/>
      <c r="AU37"/>
    </row>
    <row r="38" spans="9:47" x14ac:dyDescent="0.2">
      <c r="I38" s="9"/>
      <c r="L38" s="9"/>
      <c r="O38" s="9"/>
      <c r="R38" s="9"/>
      <c r="S38"/>
      <c r="T38"/>
      <c r="U38"/>
      <c r="V38"/>
      <c r="W38"/>
      <c r="X38"/>
      <c r="Y38"/>
      <c r="Z38"/>
      <c r="AA38"/>
      <c r="AB38"/>
      <c r="AC38"/>
      <c r="AD38"/>
      <c r="AE38"/>
      <c r="AF38"/>
      <c r="AG38"/>
      <c r="AH38"/>
      <c r="AI38"/>
      <c r="AJ38" s="9"/>
      <c r="AK38"/>
      <c r="AL38"/>
      <c r="AM38"/>
      <c r="AN38" s="9"/>
      <c r="AO38"/>
      <c r="AP38"/>
      <c r="AQ38"/>
      <c r="AR38"/>
      <c r="AS38"/>
      <c r="AT38"/>
      <c r="AU38"/>
    </row>
    <row r="39" spans="9:47" x14ac:dyDescent="0.2">
      <c r="I39" s="9"/>
      <c r="L39" s="9"/>
      <c r="O39" s="9"/>
      <c r="R39" s="9"/>
      <c r="S39"/>
      <c r="T39"/>
      <c r="U39"/>
      <c r="V39"/>
      <c r="W39"/>
      <c r="X39"/>
      <c r="Y39"/>
      <c r="Z39"/>
      <c r="AA39"/>
      <c r="AB39"/>
      <c r="AC39"/>
      <c r="AD39"/>
      <c r="AE39"/>
      <c r="AF39"/>
      <c r="AG39"/>
      <c r="AH39"/>
      <c r="AI39"/>
      <c r="AJ39" s="9"/>
      <c r="AK39"/>
      <c r="AL39"/>
      <c r="AM39"/>
      <c r="AN39" s="9"/>
      <c r="AO39"/>
      <c r="AP39"/>
      <c r="AQ39"/>
      <c r="AR39"/>
      <c r="AS39"/>
      <c r="AT39"/>
      <c r="AU39"/>
    </row>
    <row r="40" spans="9:47" x14ac:dyDescent="0.2">
      <c r="I40" s="9"/>
      <c r="L40" s="9"/>
      <c r="O40" s="9"/>
      <c r="R40" s="9"/>
      <c r="S40"/>
      <c r="T40"/>
      <c r="U40"/>
      <c r="V40"/>
      <c r="W40"/>
      <c r="X40"/>
      <c r="Y40"/>
      <c r="Z40"/>
      <c r="AA40"/>
      <c r="AB40"/>
      <c r="AC40"/>
      <c r="AD40"/>
      <c r="AE40"/>
      <c r="AF40"/>
      <c r="AG40"/>
      <c r="AH40"/>
      <c r="AI40"/>
      <c r="AJ40" s="9"/>
      <c r="AK40"/>
      <c r="AL40"/>
      <c r="AM40"/>
      <c r="AN40" s="9"/>
      <c r="AO40"/>
      <c r="AP40"/>
      <c r="AQ40"/>
      <c r="AR40"/>
      <c r="AS40"/>
      <c r="AT40"/>
      <c r="AU40"/>
    </row>
    <row r="41" spans="9:47" x14ac:dyDescent="0.2">
      <c r="I41" s="9"/>
      <c r="L41" s="9"/>
      <c r="O41" s="9"/>
      <c r="R41" s="9"/>
      <c r="S41"/>
      <c r="T41"/>
      <c r="U41"/>
      <c r="V41"/>
      <c r="W41"/>
      <c r="X41"/>
      <c r="Y41"/>
      <c r="Z41"/>
      <c r="AA41"/>
      <c r="AB41"/>
      <c r="AC41"/>
      <c r="AD41"/>
      <c r="AE41"/>
      <c r="AF41"/>
      <c r="AG41"/>
      <c r="AH41"/>
      <c r="AI41"/>
      <c r="AJ41" s="9"/>
      <c r="AK41"/>
      <c r="AL41"/>
      <c r="AM41"/>
      <c r="AN41" s="9"/>
      <c r="AO41"/>
      <c r="AP41"/>
      <c r="AQ41"/>
      <c r="AR41"/>
      <c r="AS41"/>
      <c r="AT41"/>
      <c r="AU41"/>
    </row>
    <row r="42" spans="9:47" x14ac:dyDescent="0.2">
      <c r="I42" s="9"/>
      <c r="L42" s="9"/>
      <c r="O42" s="9"/>
      <c r="R42" s="9"/>
      <c r="S42"/>
      <c r="T42"/>
      <c r="U42"/>
      <c r="V42"/>
      <c r="W42"/>
      <c r="X42"/>
      <c r="Y42"/>
      <c r="Z42"/>
      <c r="AA42"/>
      <c r="AB42"/>
      <c r="AC42"/>
      <c r="AD42"/>
      <c r="AE42"/>
      <c r="AF42"/>
      <c r="AG42"/>
      <c r="AH42"/>
      <c r="AI42"/>
      <c r="AJ42" s="9"/>
      <c r="AK42"/>
      <c r="AL42"/>
      <c r="AM42"/>
      <c r="AN42" s="9"/>
      <c r="AO42"/>
      <c r="AP42"/>
      <c r="AQ42"/>
      <c r="AR42"/>
      <c r="AS42"/>
      <c r="AT42"/>
      <c r="AU42"/>
    </row>
    <row r="43" spans="9:47" x14ac:dyDescent="0.2">
      <c r="I43" s="9"/>
      <c r="L43" s="9"/>
      <c r="O43" s="9"/>
      <c r="R43" s="9"/>
      <c r="S43"/>
      <c r="T43"/>
      <c r="U43"/>
      <c r="V43"/>
      <c r="W43"/>
      <c r="X43"/>
      <c r="Y43"/>
      <c r="Z43"/>
      <c r="AA43"/>
      <c r="AB43"/>
      <c r="AC43"/>
      <c r="AD43"/>
      <c r="AE43"/>
      <c r="AF43"/>
      <c r="AG43"/>
      <c r="AH43"/>
      <c r="AI43"/>
      <c r="AJ43" s="9"/>
      <c r="AK43"/>
      <c r="AL43"/>
      <c r="AM43"/>
      <c r="AN43" s="9"/>
      <c r="AO43"/>
      <c r="AP43"/>
      <c r="AQ43"/>
      <c r="AR43"/>
      <c r="AS43"/>
      <c r="AT43"/>
      <c r="AU43"/>
    </row>
    <row r="44" spans="9:47" x14ac:dyDescent="0.2">
      <c r="I44" s="9"/>
      <c r="L44" s="9"/>
      <c r="O44" s="9"/>
      <c r="R44" s="9"/>
      <c r="S44"/>
      <c r="T44"/>
      <c r="U44"/>
      <c r="V44"/>
      <c r="W44"/>
      <c r="X44"/>
      <c r="Y44"/>
      <c r="Z44"/>
      <c r="AA44"/>
      <c r="AB44"/>
      <c r="AC44"/>
      <c r="AD44"/>
      <c r="AE44"/>
      <c r="AF44"/>
      <c r="AG44"/>
      <c r="AH44"/>
      <c r="AI44"/>
      <c r="AJ44" s="9"/>
      <c r="AK44"/>
      <c r="AL44"/>
      <c r="AM44"/>
      <c r="AN44" s="9"/>
      <c r="AO44"/>
      <c r="AP44"/>
      <c r="AQ44"/>
      <c r="AR44"/>
      <c r="AS44"/>
      <c r="AT44"/>
      <c r="AU44"/>
    </row>
    <row r="45" spans="9:47" x14ac:dyDescent="0.2">
      <c r="I45" s="9"/>
      <c r="L45" s="9"/>
      <c r="O45" s="9"/>
      <c r="R45" s="9"/>
      <c r="S45"/>
      <c r="T45"/>
      <c r="U45"/>
      <c r="V45"/>
      <c r="W45"/>
      <c r="X45"/>
      <c r="Y45"/>
      <c r="Z45"/>
      <c r="AA45"/>
      <c r="AB45"/>
      <c r="AC45"/>
      <c r="AD45"/>
      <c r="AE45"/>
      <c r="AF45"/>
      <c r="AG45"/>
      <c r="AH45"/>
      <c r="AI45"/>
      <c r="AJ45" s="9"/>
      <c r="AK45"/>
      <c r="AL45"/>
      <c r="AM45"/>
      <c r="AN45" s="9"/>
      <c r="AO45"/>
      <c r="AP45"/>
      <c r="AQ45"/>
      <c r="AR45"/>
      <c r="AS45"/>
      <c r="AT45"/>
      <c r="AU45"/>
    </row>
    <row r="46" spans="9:47" x14ac:dyDescent="0.2">
      <c r="I46" s="9"/>
      <c r="L46" s="9"/>
      <c r="O46" s="9"/>
      <c r="R46" s="9"/>
      <c r="S46"/>
      <c r="T46"/>
      <c r="U46"/>
      <c r="V46"/>
      <c r="W46"/>
      <c r="X46"/>
      <c r="Y46"/>
      <c r="Z46"/>
      <c r="AA46"/>
      <c r="AB46"/>
      <c r="AC46"/>
      <c r="AD46"/>
      <c r="AE46"/>
      <c r="AF46"/>
      <c r="AG46"/>
      <c r="AH46"/>
      <c r="AI46"/>
      <c r="AJ46" s="9"/>
      <c r="AK46"/>
      <c r="AL46"/>
      <c r="AM46"/>
      <c r="AN46" s="9"/>
      <c r="AO46"/>
      <c r="AP46"/>
      <c r="AQ46"/>
      <c r="AR46"/>
      <c r="AS46"/>
      <c r="AT46"/>
      <c r="AU46"/>
    </row>
    <row r="47" spans="9:47" x14ac:dyDescent="0.2">
      <c r="I47" s="9"/>
      <c r="L47" s="9"/>
      <c r="O47" s="9"/>
      <c r="R47" s="9"/>
      <c r="S47"/>
      <c r="T47"/>
      <c r="U47"/>
      <c r="V47"/>
      <c r="W47"/>
      <c r="X47"/>
      <c r="Y47"/>
      <c r="Z47"/>
      <c r="AA47"/>
      <c r="AB47"/>
      <c r="AC47"/>
      <c r="AD47"/>
      <c r="AE47"/>
      <c r="AF47"/>
      <c r="AG47"/>
      <c r="AH47"/>
      <c r="AI47"/>
      <c r="AJ47" s="9"/>
      <c r="AK47"/>
      <c r="AL47"/>
      <c r="AM47"/>
      <c r="AN47" s="9"/>
      <c r="AO47"/>
      <c r="AP47"/>
      <c r="AQ47"/>
      <c r="AR47"/>
      <c r="AS47"/>
      <c r="AT47"/>
      <c r="AU47"/>
    </row>
    <row r="48" spans="9:47" x14ac:dyDescent="0.2">
      <c r="I48" s="9"/>
      <c r="L48" s="9"/>
      <c r="O48" s="9"/>
      <c r="R48" s="9"/>
      <c r="S48"/>
      <c r="T48"/>
      <c r="U48"/>
      <c r="V48"/>
      <c r="W48"/>
      <c r="X48"/>
      <c r="Y48"/>
      <c r="Z48"/>
      <c r="AA48"/>
      <c r="AB48"/>
      <c r="AC48"/>
      <c r="AD48"/>
      <c r="AE48"/>
      <c r="AF48"/>
      <c r="AG48"/>
      <c r="AH48"/>
      <c r="AI48"/>
      <c r="AJ48" s="9"/>
      <c r="AK48"/>
      <c r="AL48"/>
      <c r="AM48"/>
      <c r="AN48" s="9"/>
      <c r="AO48"/>
      <c r="AP48"/>
      <c r="AQ48"/>
      <c r="AR48"/>
      <c r="AS48"/>
      <c r="AT48"/>
      <c r="AU48"/>
    </row>
    <row r="49" spans="9:47" x14ac:dyDescent="0.2">
      <c r="I49" s="9"/>
      <c r="L49" s="9"/>
      <c r="O49" s="9"/>
      <c r="R49" s="9"/>
      <c r="S49"/>
      <c r="T49"/>
      <c r="U49"/>
      <c r="V49"/>
      <c r="W49"/>
      <c r="X49"/>
      <c r="Y49"/>
      <c r="Z49"/>
      <c r="AA49"/>
      <c r="AB49"/>
      <c r="AC49"/>
      <c r="AD49"/>
      <c r="AE49"/>
      <c r="AF49"/>
      <c r="AG49"/>
      <c r="AH49"/>
      <c r="AI49"/>
      <c r="AJ49" s="9"/>
      <c r="AK49"/>
      <c r="AL49"/>
      <c r="AM49"/>
      <c r="AN49" s="9"/>
      <c r="AO49"/>
      <c r="AP49"/>
      <c r="AQ49"/>
      <c r="AR49"/>
      <c r="AS49"/>
      <c r="AT49"/>
      <c r="AU49"/>
    </row>
    <row r="50" spans="9:47" x14ac:dyDescent="0.2">
      <c r="I50" s="9"/>
      <c r="L50" s="9"/>
      <c r="O50" s="9"/>
      <c r="R50" s="9"/>
      <c r="S50"/>
      <c r="T50"/>
      <c r="U50"/>
      <c r="V50"/>
      <c r="W50"/>
      <c r="X50"/>
      <c r="Y50"/>
      <c r="Z50"/>
      <c r="AA50"/>
      <c r="AB50"/>
      <c r="AC50"/>
      <c r="AD50"/>
      <c r="AE50"/>
      <c r="AF50"/>
      <c r="AG50"/>
      <c r="AH50"/>
      <c r="AI50"/>
      <c r="AJ50" s="9"/>
      <c r="AK50"/>
      <c r="AL50"/>
      <c r="AM50"/>
      <c r="AN50" s="9"/>
      <c r="AO50"/>
      <c r="AP50"/>
      <c r="AQ50"/>
      <c r="AR50"/>
      <c r="AS50"/>
      <c r="AT50"/>
      <c r="AU50"/>
    </row>
    <row r="51" spans="9:47" x14ac:dyDescent="0.2">
      <c r="I51" s="9"/>
      <c r="L51" s="9"/>
      <c r="O51" s="9"/>
      <c r="R51" s="9"/>
      <c r="S51"/>
      <c r="T51"/>
      <c r="U51"/>
      <c r="V51"/>
      <c r="W51"/>
      <c r="X51"/>
      <c r="Y51"/>
      <c r="Z51"/>
      <c r="AA51"/>
      <c r="AB51"/>
      <c r="AC51"/>
      <c r="AD51"/>
      <c r="AE51"/>
      <c r="AF51"/>
      <c r="AG51"/>
      <c r="AH51"/>
      <c r="AI51"/>
      <c r="AJ51" s="9"/>
      <c r="AK51"/>
      <c r="AL51"/>
      <c r="AM51"/>
      <c r="AN51" s="9"/>
      <c r="AO51"/>
      <c r="AP51"/>
      <c r="AQ51"/>
      <c r="AR51"/>
      <c r="AS51"/>
      <c r="AT51"/>
      <c r="AU51"/>
    </row>
    <row r="52" spans="9:47" x14ac:dyDescent="0.2">
      <c r="I52" s="9"/>
      <c r="L52" s="9"/>
      <c r="O52" s="9"/>
      <c r="R52" s="9"/>
      <c r="S52"/>
      <c r="T52"/>
      <c r="U52"/>
      <c r="V52"/>
      <c r="W52"/>
      <c r="X52"/>
      <c r="Y52"/>
      <c r="Z52"/>
      <c r="AA52"/>
      <c r="AB52"/>
      <c r="AC52"/>
      <c r="AD52"/>
      <c r="AE52"/>
      <c r="AF52"/>
      <c r="AG52"/>
      <c r="AH52"/>
      <c r="AI52"/>
      <c r="AJ52" s="9"/>
      <c r="AK52"/>
      <c r="AL52"/>
      <c r="AM52"/>
      <c r="AN52" s="9"/>
      <c r="AO52"/>
      <c r="AP52"/>
      <c r="AQ52"/>
      <c r="AR52"/>
      <c r="AS52"/>
      <c r="AT52"/>
      <c r="AU52"/>
    </row>
    <row r="53" spans="9:47" x14ac:dyDescent="0.2">
      <c r="I53" s="9"/>
      <c r="L53" s="9"/>
      <c r="O53" s="9"/>
      <c r="R53" s="9"/>
      <c r="S53"/>
      <c r="T53"/>
      <c r="U53"/>
      <c r="V53"/>
      <c r="W53"/>
      <c r="X53"/>
      <c r="Y53"/>
      <c r="Z53"/>
      <c r="AA53"/>
      <c r="AB53"/>
      <c r="AC53"/>
      <c r="AD53"/>
      <c r="AE53"/>
      <c r="AF53"/>
      <c r="AG53"/>
      <c r="AH53"/>
      <c r="AI53"/>
      <c r="AJ53" s="9"/>
      <c r="AK53"/>
      <c r="AL53"/>
      <c r="AM53"/>
      <c r="AN53" s="9"/>
      <c r="AO53"/>
      <c r="AP53"/>
      <c r="AQ53"/>
      <c r="AR53"/>
      <c r="AS53"/>
      <c r="AT53"/>
      <c r="AU53"/>
    </row>
    <row r="54" spans="9:47" x14ac:dyDescent="0.2">
      <c r="I54" s="9"/>
      <c r="L54" s="9"/>
      <c r="O54" s="9"/>
      <c r="R54" s="9"/>
      <c r="S54"/>
      <c r="T54"/>
      <c r="U54"/>
      <c r="V54"/>
      <c r="W54"/>
      <c r="X54"/>
      <c r="Y54"/>
      <c r="Z54"/>
      <c r="AA54"/>
      <c r="AB54"/>
      <c r="AC54"/>
      <c r="AD54"/>
      <c r="AE54"/>
      <c r="AF54"/>
      <c r="AG54"/>
      <c r="AH54"/>
      <c r="AI54"/>
      <c r="AJ54" s="9"/>
      <c r="AK54"/>
      <c r="AL54"/>
      <c r="AM54"/>
      <c r="AN54" s="9"/>
      <c r="AO54"/>
      <c r="AP54"/>
      <c r="AQ54"/>
      <c r="AR54"/>
      <c r="AS54"/>
      <c r="AT54"/>
      <c r="AU54"/>
    </row>
    <row r="55" spans="9:47" x14ac:dyDescent="0.2">
      <c r="I55" s="9"/>
      <c r="L55" s="9"/>
      <c r="O55" s="9"/>
      <c r="R55" s="9"/>
      <c r="S55"/>
      <c r="T55"/>
      <c r="U55"/>
      <c r="V55"/>
      <c r="W55"/>
      <c r="X55"/>
      <c r="Y55"/>
      <c r="Z55"/>
      <c r="AA55"/>
      <c r="AB55"/>
      <c r="AC55"/>
      <c r="AD55"/>
      <c r="AE55"/>
      <c r="AF55"/>
      <c r="AG55"/>
      <c r="AH55"/>
      <c r="AI55"/>
      <c r="AJ55" s="9"/>
      <c r="AK55"/>
      <c r="AL55"/>
      <c r="AM55"/>
      <c r="AN55" s="9"/>
      <c r="AO55"/>
      <c r="AP55"/>
      <c r="AQ55"/>
      <c r="AR55"/>
      <c r="AS55"/>
      <c r="AT55"/>
      <c r="AU55"/>
    </row>
    <row r="56" spans="9:47" x14ac:dyDescent="0.2">
      <c r="I56" s="9"/>
      <c r="L56" s="9"/>
      <c r="O56" s="9"/>
      <c r="R56" s="9"/>
      <c r="S56"/>
      <c r="T56"/>
      <c r="U56"/>
      <c r="V56"/>
      <c r="W56"/>
      <c r="X56"/>
      <c r="Y56"/>
      <c r="Z56"/>
      <c r="AA56"/>
      <c r="AB56"/>
      <c r="AC56"/>
      <c r="AD56"/>
      <c r="AE56"/>
      <c r="AF56"/>
      <c r="AG56"/>
      <c r="AH56"/>
      <c r="AI56"/>
      <c r="AJ56" s="9"/>
      <c r="AK56"/>
      <c r="AL56"/>
      <c r="AM56"/>
      <c r="AN56" s="9"/>
      <c r="AO56"/>
      <c r="AP56"/>
      <c r="AQ56"/>
      <c r="AR56"/>
      <c r="AS56"/>
      <c r="AT56"/>
      <c r="AU56"/>
    </row>
    <row r="57" spans="9:47" x14ac:dyDescent="0.2">
      <c r="I57" s="9"/>
      <c r="L57" s="9"/>
      <c r="O57" s="9"/>
      <c r="R57" s="9"/>
      <c r="S57"/>
      <c r="T57"/>
      <c r="U57"/>
      <c r="V57"/>
      <c r="W57"/>
      <c r="X57"/>
      <c r="Y57"/>
      <c r="Z57"/>
      <c r="AA57"/>
      <c r="AB57"/>
      <c r="AC57"/>
      <c r="AD57"/>
      <c r="AE57"/>
      <c r="AF57"/>
      <c r="AG57"/>
      <c r="AH57"/>
      <c r="AI57"/>
      <c r="AJ57" s="9"/>
      <c r="AK57"/>
      <c r="AL57"/>
      <c r="AM57"/>
      <c r="AN57" s="9"/>
      <c r="AO57"/>
      <c r="AP57"/>
      <c r="AQ57"/>
      <c r="AR57"/>
      <c r="AS57"/>
      <c r="AT57"/>
      <c r="AU57"/>
    </row>
    <row r="58" spans="9:47" x14ac:dyDescent="0.2">
      <c r="I58" s="9"/>
      <c r="L58" s="9"/>
      <c r="O58" s="9"/>
      <c r="R58" s="9"/>
      <c r="S58"/>
      <c r="T58"/>
      <c r="U58"/>
      <c r="V58"/>
      <c r="W58"/>
      <c r="X58"/>
      <c r="Y58"/>
      <c r="Z58"/>
      <c r="AA58"/>
      <c r="AB58"/>
      <c r="AC58"/>
      <c r="AD58"/>
      <c r="AE58"/>
      <c r="AF58"/>
      <c r="AG58"/>
      <c r="AH58"/>
      <c r="AI58"/>
      <c r="AJ58" s="9"/>
      <c r="AK58"/>
      <c r="AL58"/>
      <c r="AM58"/>
      <c r="AN58" s="9"/>
      <c r="AO58"/>
      <c r="AP58"/>
      <c r="AQ58"/>
      <c r="AR58"/>
      <c r="AS58"/>
      <c r="AT58"/>
      <c r="AU58"/>
    </row>
    <row r="59" spans="9:47" x14ac:dyDescent="0.2">
      <c r="I59" s="9"/>
      <c r="L59" s="9"/>
      <c r="O59" s="9"/>
      <c r="R59" s="9"/>
      <c r="S59"/>
      <c r="T59"/>
      <c r="U59"/>
      <c r="V59"/>
      <c r="W59"/>
      <c r="X59"/>
      <c r="Y59"/>
      <c r="Z59"/>
      <c r="AA59"/>
      <c r="AB59"/>
      <c r="AC59"/>
      <c r="AD59"/>
      <c r="AE59"/>
      <c r="AF59"/>
      <c r="AG59"/>
      <c r="AH59"/>
      <c r="AI59"/>
      <c r="AJ59" s="9"/>
      <c r="AK59"/>
      <c r="AL59"/>
      <c r="AM59"/>
      <c r="AN59" s="9"/>
      <c r="AO59"/>
      <c r="AP59"/>
      <c r="AQ59"/>
      <c r="AR59"/>
      <c r="AS59"/>
      <c r="AT59"/>
      <c r="AU59"/>
    </row>
    <row r="60" spans="9:47" x14ac:dyDescent="0.2">
      <c r="I60" s="9"/>
      <c r="L60" s="9"/>
      <c r="O60" s="9"/>
      <c r="R60" s="9"/>
      <c r="S60"/>
      <c r="T60"/>
      <c r="U60"/>
      <c r="V60"/>
      <c r="W60"/>
      <c r="X60"/>
      <c r="Y60"/>
      <c r="Z60"/>
      <c r="AA60"/>
      <c r="AB60"/>
      <c r="AC60"/>
      <c r="AD60"/>
      <c r="AE60"/>
      <c r="AF60"/>
      <c r="AG60"/>
      <c r="AH60"/>
      <c r="AI60"/>
      <c r="AJ60" s="9"/>
      <c r="AK60"/>
      <c r="AL60"/>
      <c r="AM60"/>
      <c r="AN60" s="9"/>
      <c r="AO60"/>
      <c r="AP60"/>
      <c r="AQ60"/>
      <c r="AR60"/>
      <c r="AS60"/>
      <c r="AT60"/>
      <c r="AU60"/>
    </row>
    <row r="61" spans="9:47" x14ac:dyDescent="0.2">
      <c r="I61" s="9"/>
      <c r="L61" s="9"/>
      <c r="O61" s="9"/>
      <c r="R61" s="9"/>
      <c r="S61"/>
      <c r="T61"/>
      <c r="U61"/>
      <c r="V61"/>
      <c r="W61"/>
      <c r="X61"/>
      <c r="Y61"/>
      <c r="Z61"/>
      <c r="AA61"/>
      <c r="AB61"/>
      <c r="AC61"/>
      <c r="AD61"/>
      <c r="AE61"/>
      <c r="AF61"/>
      <c r="AG61"/>
      <c r="AH61"/>
      <c r="AI61"/>
      <c r="AJ61" s="9"/>
      <c r="AK61"/>
      <c r="AL61"/>
      <c r="AM61"/>
      <c r="AN61" s="9"/>
      <c r="AO61"/>
      <c r="AP61"/>
      <c r="AQ61"/>
      <c r="AR61"/>
      <c r="AS61"/>
      <c r="AT61"/>
      <c r="AU61"/>
    </row>
    <row r="62" spans="9:47" x14ac:dyDescent="0.2">
      <c r="I62" s="9"/>
      <c r="L62" s="9"/>
      <c r="O62" s="9"/>
      <c r="R62" s="9"/>
      <c r="S62"/>
      <c r="T62"/>
      <c r="U62"/>
      <c r="V62"/>
      <c r="W62"/>
      <c r="X62"/>
      <c r="Y62"/>
      <c r="Z62"/>
      <c r="AA62"/>
      <c r="AB62"/>
      <c r="AC62"/>
      <c r="AD62"/>
      <c r="AE62"/>
      <c r="AF62"/>
      <c r="AG62"/>
      <c r="AH62"/>
      <c r="AI62"/>
      <c r="AJ62" s="9"/>
      <c r="AK62"/>
      <c r="AL62"/>
      <c r="AM62"/>
      <c r="AN62" s="9"/>
      <c r="AO62"/>
      <c r="AP62"/>
      <c r="AQ62"/>
      <c r="AR62"/>
      <c r="AS62"/>
      <c r="AT62"/>
      <c r="AU62"/>
    </row>
    <row r="63" spans="9:47" x14ac:dyDescent="0.2">
      <c r="I63" s="9"/>
      <c r="L63" s="9"/>
      <c r="O63" s="9"/>
      <c r="R63" s="9"/>
      <c r="S63"/>
      <c r="T63"/>
      <c r="U63"/>
      <c r="V63"/>
      <c r="W63"/>
      <c r="X63"/>
      <c r="Y63"/>
      <c r="Z63"/>
      <c r="AA63"/>
      <c r="AB63"/>
      <c r="AC63"/>
      <c r="AD63"/>
      <c r="AE63"/>
      <c r="AF63"/>
      <c r="AG63"/>
      <c r="AH63"/>
      <c r="AI63"/>
      <c r="AJ63" s="9"/>
      <c r="AK63"/>
      <c r="AL63"/>
      <c r="AM63"/>
      <c r="AN63" s="9"/>
      <c r="AO63"/>
      <c r="AP63"/>
      <c r="AQ63"/>
      <c r="AR63"/>
      <c r="AS63"/>
      <c r="AT63"/>
      <c r="AU63"/>
    </row>
    <row r="64" spans="9:47" x14ac:dyDescent="0.2">
      <c r="I64" s="9"/>
      <c r="L64" s="9"/>
      <c r="O64" s="9"/>
      <c r="R64" s="9"/>
      <c r="S64"/>
      <c r="T64"/>
      <c r="U64"/>
      <c r="V64"/>
      <c r="W64"/>
      <c r="X64"/>
      <c r="Y64"/>
      <c r="Z64"/>
      <c r="AA64"/>
      <c r="AB64"/>
      <c r="AC64"/>
      <c r="AD64"/>
      <c r="AE64"/>
      <c r="AF64"/>
      <c r="AG64"/>
      <c r="AH64"/>
      <c r="AI64"/>
      <c r="AJ64" s="9"/>
      <c r="AK64"/>
      <c r="AL64"/>
      <c r="AM64"/>
      <c r="AN64" s="9"/>
      <c r="AO64"/>
      <c r="AP64"/>
      <c r="AQ64"/>
      <c r="AR64"/>
      <c r="AS64"/>
      <c r="AT64"/>
      <c r="AU64"/>
    </row>
    <row r="65" spans="9:47" x14ac:dyDescent="0.2">
      <c r="I65" s="9"/>
      <c r="L65" s="9"/>
      <c r="O65" s="9"/>
      <c r="R65" s="9"/>
      <c r="S65"/>
      <c r="T65"/>
      <c r="U65"/>
      <c r="V65"/>
      <c r="W65"/>
      <c r="X65"/>
      <c r="Y65"/>
      <c r="Z65"/>
      <c r="AA65"/>
      <c r="AB65"/>
      <c r="AC65"/>
      <c r="AD65"/>
      <c r="AE65"/>
      <c r="AF65"/>
      <c r="AG65"/>
      <c r="AH65"/>
      <c r="AI65"/>
      <c r="AJ65" s="9"/>
      <c r="AK65"/>
      <c r="AL65"/>
      <c r="AM65"/>
      <c r="AN65" s="9"/>
      <c r="AO65"/>
      <c r="AP65"/>
      <c r="AQ65"/>
      <c r="AR65"/>
      <c r="AS65"/>
      <c r="AT65"/>
      <c r="AU65"/>
    </row>
    <row r="66" spans="9:47" x14ac:dyDescent="0.2">
      <c r="I66" s="9"/>
      <c r="L66" s="9"/>
      <c r="O66" s="9"/>
      <c r="R66" s="9"/>
      <c r="S66"/>
      <c r="T66"/>
      <c r="U66"/>
      <c r="V66"/>
      <c r="W66"/>
      <c r="X66"/>
      <c r="Y66"/>
      <c r="Z66"/>
      <c r="AA66"/>
      <c r="AB66"/>
      <c r="AC66"/>
      <c r="AD66"/>
      <c r="AE66"/>
      <c r="AF66"/>
      <c r="AG66"/>
      <c r="AH66"/>
      <c r="AI66"/>
      <c r="AJ66" s="9"/>
      <c r="AK66"/>
      <c r="AL66"/>
      <c r="AM66"/>
      <c r="AN66" s="9"/>
      <c r="AO66"/>
      <c r="AP66"/>
      <c r="AQ66"/>
      <c r="AR66"/>
      <c r="AS66"/>
      <c r="AT66"/>
      <c r="AU66"/>
    </row>
    <row r="67" spans="9:47" x14ac:dyDescent="0.2">
      <c r="I67" s="9"/>
      <c r="L67" s="9"/>
      <c r="O67" s="9"/>
      <c r="R67" s="9"/>
      <c r="S67"/>
      <c r="T67"/>
      <c r="U67"/>
      <c r="V67"/>
      <c r="W67"/>
      <c r="X67"/>
      <c r="Y67"/>
      <c r="Z67"/>
      <c r="AA67"/>
      <c r="AB67"/>
      <c r="AC67"/>
      <c r="AD67"/>
      <c r="AE67"/>
      <c r="AF67"/>
      <c r="AG67"/>
      <c r="AH67"/>
      <c r="AI67"/>
      <c r="AJ67" s="9"/>
      <c r="AK67"/>
      <c r="AL67"/>
      <c r="AM67"/>
      <c r="AN67" s="9"/>
      <c r="AO67"/>
      <c r="AP67"/>
      <c r="AQ67"/>
      <c r="AR67"/>
      <c r="AS67"/>
      <c r="AT67"/>
      <c r="AU67"/>
    </row>
    <row r="68" spans="9:47" x14ac:dyDescent="0.2">
      <c r="I68" s="9"/>
      <c r="L68" s="9"/>
      <c r="O68" s="9"/>
      <c r="R68" s="9"/>
      <c r="S68"/>
      <c r="T68"/>
      <c r="U68"/>
      <c r="V68"/>
      <c r="W68"/>
      <c r="X68"/>
      <c r="Y68"/>
      <c r="Z68"/>
      <c r="AA68"/>
      <c r="AB68"/>
      <c r="AC68"/>
      <c r="AD68"/>
      <c r="AE68"/>
      <c r="AF68"/>
      <c r="AG68"/>
      <c r="AH68"/>
      <c r="AI68"/>
      <c r="AJ68" s="9"/>
      <c r="AK68"/>
      <c r="AL68"/>
      <c r="AM68"/>
      <c r="AN68" s="9"/>
      <c r="AO68"/>
      <c r="AP68"/>
      <c r="AQ68"/>
      <c r="AR68"/>
      <c r="AS68"/>
      <c r="AT68"/>
      <c r="AU68"/>
    </row>
    <row r="69" spans="9:47" x14ac:dyDescent="0.2">
      <c r="I69" s="9"/>
      <c r="L69" s="9"/>
      <c r="O69" s="9"/>
      <c r="R69" s="9"/>
      <c r="S69"/>
      <c r="T69"/>
      <c r="U69"/>
      <c r="V69"/>
      <c r="W69"/>
      <c r="X69"/>
      <c r="Y69"/>
      <c r="Z69"/>
      <c r="AA69"/>
      <c r="AB69"/>
      <c r="AC69"/>
      <c r="AD69"/>
      <c r="AE69"/>
      <c r="AF69"/>
      <c r="AG69"/>
      <c r="AH69"/>
      <c r="AI69"/>
      <c r="AJ69" s="9"/>
      <c r="AK69"/>
      <c r="AL69"/>
      <c r="AM69"/>
      <c r="AN69" s="9"/>
      <c r="AO69"/>
      <c r="AP69"/>
      <c r="AQ69"/>
      <c r="AR69"/>
      <c r="AS69"/>
      <c r="AT69"/>
      <c r="AU69"/>
    </row>
    <row r="70" spans="9:47" x14ac:dyDescent="0.2">
      <c r="I70" s="9"/>
      <c r="L70" s="9"/>
      <c r="O70" s="9"/>
      <c r="R70" s="9"/>
      <c r="S70"/>
      <c r="T70"/>
      <c r="U70"/>
      <c r="V70"/>
      <c r="W70"/>
      <c r="X70"/>
      <c r="Y70"/>
      <c r="Z70"/>
      <c r="AA70"/>
      <c r="AB70"/>
      <c r="AC70"/>
      <c r="AD70"/>
      <c r="AE70"/>
      <c r="AF70"/>
      <c r="AG70"/>
      <c r="AH70"/>
      <c r="AI70"/>
      <c r="AJ70" s="9"/>
      <c r="AK70"/>
      <c r="AL70"/>
      <c r="AM70"/>
      <c r="AN70" s="9"/>
      <c r="AO70"/>
      <c r="AP70"/>
      <c r="AQ70"/>
      <c r="AR70"/>
      <c r="AS70"/>
      <c r="AT70"/>
      <c r="AU70"/>
    </row>
    <row r="71" spans="9:47" x14ac:dyDescent="0.2">
      <c r="I71" s="9"/>
      <c r="L71" s="9"/>
      <c r="O71" s="9"/>
      <c r="R71" s="9"/>
      <c r="S71"/>
      <c r="T71"/>
      <c r="U71"/>
      <c r="V71"/>
      <c r="W71"/>
      <c r="X71"/>
      <c r="Y71"/>
      <c r="Z71"/>
      <c r="AA71"/>
      <c r="AB71"/>
      <c r="AC71"/>
      <c r="AD71"/>
      <c r="AE71"/>
      <c r="AF71"/>
      <c r="AG71"/>
      <c r="AH71"/>
      <c r="AI71"/>
      <c r="AJ71" s="9"/>
      <c r="AK71"/>
      <c r="AL71"/>
      <c r="AM71"/>
      <c r="AN71" s="9"/>
      <c r="AO71"/>
      <c r="AP71"/>
      <c r="AQ71"/>
      <c r="AR71"/>
      <c r="AS71"/>
      <c r="AT71"/>
      <c r="AU71"/>
    </row>
    <row r="72" spans="9:47" x14ac:dyDescent="0.2">
      <c r="I72" s="9"/>
      <c r="L72" s="9"/>
      <c r="O72" s="9"/>
      <c r="R72" s="9"/>
      <c r="S72"/>
      <c r="T72"/>
      <c r="U72"/>
      <c r="V72"/>
      <c r="W72"/>
      <c r="X72"/>
      <c r="Y72"/>
      <c r="Z72"/>
      <c r="AA72"/>
      <c r="AB72"/>
      <c r="AC72"/>
      <c r="AD72"/>
      <c r="AE72"/>
      <c r="AF72"/>
      <c r="AG72"/>
      <c r="AH72"/>
      <c r="AI72"/>
      <c r="AJ72" s="9"/>
      <c r="AK72"/>
      <c r="AL72"/>
      <c r="AM72"/>
      <c r="AN72" s="9"/>
      <c r="AO72"/>
      <c r="AP72"/>
      <c r="AQ72"/>
      <c r="AR72"/>
      <c r="AS72"/>
      <c r="AT72"/>
      <c r="AU72"/>
    </row>
    <row r="73" spans="9:47" x14ac:dyDescent="0.2">
      <c r="I73" s="9"/>
      <c r="L73" s="9"/>
      <c r="O73" s="9"/>
      <c r="R73" s="9"/>
      <c r="S73"/>
      <c r="T73"/>
      <c r="U73"/>
      <c r="V73"/>
      <c r="W73"/>
      <c r="X73"/>
      <c r="Y73"/>
      <c r="Z73"/>
      <c r="AA73"/>
      <c r="AB73"/>
      <c r="AC73"/>
      <c r="AD73"/>
      <c r="AE73"/>
      <c r="AF73"/>
      <c r="AG73"/>
      <c r="AH73"/>
      <c r="AI73"/>
      <c r="AJ73" s="9"/>
      <c r="AK73"/>
      <c r="AL73"/>
      <c r="AM73"/>
      <c r="AN73" s="9"/>
      <c r="AO73"/>
      <c r="AP73"/>
      <c r="AQ73"/>
      <c r="AR73"/>
      <c r="AS73"/>
      <c r="AT73"/>
      <c r="AU73"/>
    </row>
    <row r="74" spans="9:47" x14ac:dyDescent="0.2">
      <c r="I74" s="9"/>
      <c r="L74" s="9"/>
      <c r="O74" s="9"/>
      <c r="R74" s="9"/>
      <c r="S74"/>
      <c r="T74"/>
      <c r="U74"/>
      <c r="V74"/>
      <c r="W74"/>
      <c r="X74"/>
      <c r="Y74"/>
      <c r="Z74"/>
      <c r="AA74"/>
      <c r="AB74"/>
      <c r="AC74"/>
      <c r="AD74"/>
      <c r="AE74"/>
      <c r="AF74"/>
      <c r="AG74"/>
      <c r="AH74"/>
      <c r="AI74"/>
      <c r="AJ74" s="9"/>
      <c r="AK74"/>
      <c r="AL74"/>
      <c r="AM74"/>
      <c r="AN74" s="9"/>
      <c r="AO74"/>
      <c r="AP74"/>
      <c r="AQ74"/>
      <c r="AR74"/>
      <c r="AS74"/>
      <c r="AT74"/>
      <c r="AU74"/>
    </row>
    <row r="75" spans="9:47" x14ac:dyDescent="0.2">
      <c r="I75" s="9"/>
      <c r="L75" s="9"/>
      <c r="O75" s="9"/>
      <c r="R75" s="9"/>
      <c r="S75"/>
      <c r="T75"/>
      <c r="U75"/>
      <c r="V75"/>
      <c r="W75"/>
      <c r="X75"/>
      <c r="Y75"/>
      <c r="Z75"/>
      <c r="AA75"/>
      <c r="AB75"/>
      <c r="AC75"/>
      <c r="AD75"/>
      <c r="AE75"/>
      <c r="AF75"/>
      <c r="AG75"/>
      <c r="AH75"/>
      <c r="AI75"/>
      <c r="AJ75" s="9"/>
      <c r="AK75"/>
      <c r="AL75"/>
      <c r="AM75"/>
      <c r="AN75" s="9"/>
      <c r="AO75"/>
      <c r="AP75"/>
      <c r="AQ75"/>
      <c r="AR75"/>
      <c r="AS75"/>
      <c r="AT75"/>
      <c r="AU75"/>
    </row>
    <row r="76" spans="9:47" x14ac:dyDescent="0.2">
      <c r="I76" s="9"/>
      <c r="L76" s="9"/>
      <c r="O76" s="9"/>
      <c r="R76" s="9"/>
      <c r="S76"/>
      <c r="T76"/>
      <c r="U76"/>
      <c r="V76"/>
      <c r="W76"/>
      <c r="X76"/>
      <c r="Y76"/>
      <c r="Z76"/>
      <c r="AA76"/>
      <c r="AB76"/>
      <c r="AC76"/>
      <c r="AD76"/>
      <c r="AE76"/>
      <c r="AF76"/>
      <c r="AG76"/>
      <c r="AH76"/>
      <c r="AI76"/>
      <c r="AJ76" s="9"/>
      <c r="AK76"/>
      <c r="AL76"/>
      <c r="AM76"/>
      <c r="AN76" s="9"/>
      <c r="AO76"/>
      <c r="AP76"/>
      <c r="AQ76"/>
      <c r="AR76"/>
      <c r="AS76"/>
      <c r="AT76"/>
      <c r="AU76"/>
    </row>
    <row r="77" spans="9:47" x14ac:dyDescent="0.2">
      <c r="I77" s="9"/>
      <c r="L77" s="9"/>
      <c r="O77" s="9"/>
      <c r="R77" s="9"/>
      <c r="S77"/>
      <c r="T77"/>
      <c r="U77"/>
      <c r="V77"/>
      <c r="W77"/>
      <c r="X77"/>
      <c r="Y77"/>
      <c r="Z77"/>
      <c r="AA77"/>
      <c r="AB77"/>
      <c r="AC77"/>
      <c r="AD77"/>
      <c r="AE77"/>
      <c r="AF77"/>
      <c r="AG77"/>
      <c r="AH77"/>
      <c r="AI77"/>
      <c r="AJ77" s="9"/>
      <c r="AK77"/>
      <c r="AL77"/>
      <c r="AM77"/>
      <c r="AN77" s="9"/>
      <c r="AO77"/>
      <c r="AP77"/>
      <c r="AQ77"/>
      <c r="AR77"/>
      <c r="AS77"/>
      <c r="AT77"/>
      <c r="AU77"/>
    </row>
    <row r="78" spans="9:47" x14ac:dyDescent="0.2">
      <c r="I78" s="9"/>
      <c r="L78" s="9"/>
      <c r="O78" s="9"/>
      <c r="R78" s="9"/>
      <c r="S78"/>
      <c r="T78"/>
      <c r="U78"/>
      <c r="V78"/>
      <c r="W78"/>
      <c r="X78"/>
      <c r="Y78"/>
      <c r="Z78"/>
      <c r="AA78"/>
      <c r="AB78"/>
      <c r="AC78"/>
      <c r="AD78"/>
      <c r="AE78"/>
      <c r="AF78"/>
      <c r="AG78"/>
      <c r="AH78"/>
      <c r="AI78"/>
      <c r="AJ78" s="9"/>
      <c r="AK78"/>
      <c r="AL78"/>
      <c r="AM78"/>
      <c r="AN78" s="9"/>
      <c r="AO78"/>
      <c r="AP78"/>
      <c r="AQ78"/>
      <c r="AR78"/>
      <c r="AS78"/>
      <c r="AT78"/>
      <c r="AU78"/>
    </row>
    <row r="79" spans="9:47" x14ac:dyDescent="0.2">
      <c r="I79" s="9"/>
      <c r="L79" s="9"/>
      <c r="O79" s="9"/>
      <c r="R79" s="9"/>
      <c r="S79"/>
      <c r="T79"/>
      <c r="U79"/>
      <c r="V79"/>
      <c r="W79"/>
      <c r="X79"/>
      <c r="Y79"/>
      <c r="Z79"/>
      <c r="AA79"/>
      <c r="AB79"/>
      <c r="AC79"/>
      <c r="AD79"/>
      <c r="AE79"/>
      <c r="AF79"/>
      <c r="AG79"/>
      <c r="AH79"/>
      <c r="AI79"/>
      <c r="AJ79" s="9"/>
      <c r="AK79"/>
      <c r="AL79"/>
      <c r="AM79"/>
      <c r="AN79" s="9"/>
      <c r="AO79"/>
      <c r="AP79"/>
      <c r="AQ79"/>
      <c r="AR79"/>
      <c r="AS79"/>
      <c r="AT79"/>
      <c r="AU79"/>
    </row>
    <row r="80" spans="9:47" x14ac:dyDescent="0.2">
      <c r="I80" s="9"/>
      <c r="L80" s="9"/>
      <c r="O80" s="9"/>
      <c r="R80" s="9"/>
      <c r="S80"/>
      <c r="T80"/>
      <c r="U80"/>
      <c r="V80"/>
      <c r="W80"/>
      <c r="X80"/>
      <c r="Y80"/>
      <c r="Z80"/>
      <c r="AA80"/>
      <c r="AB80"/>
      <c r="AC80"/>
      <c r="AD80"/>
      <c r="AE80"/>
      <c r="AF80"/>
      <c r="AG80"/>
      <c r="AH80"/>
      <c r="AI80"/>
      <c r="AJ80" s="9"/>
      <c r="AK80"/>
      <c r="AL80"/>
      <c r="AM80"/>
      <c r="AN80" s="9"/>
      <c r="AO80"/>
      <c r="AP80"/>
      <c r="AQ80"/>
      <c r="AR80"/>
      <c r="AS80"/>
      <c r="AT80"/>
      <c r="AU80"/>
    </row>
    <row r="81" spans="9:47" x14ac:dyDescent="0.2">
      <c r="I81" s="9"/>
      <c r="L81" s="9"/>
      <c r="O81" s="9"/>
      <c r="R81" s="9"/>
      <c r="S81"/>
      <c r="T81"/>
      <c r="U81"/>
      <c r="V81"/>
      <c r="W81"/>
      <c r="X81"/>
      <c r="Y81"/>
      <c r="Z81"/>
      <c r="AA81"/>
      <c r="AB81"/>
      <c r="AC81"/>
      <c r="AD81"/>
      <c r="AE81"/>
      <c r="AF81"/>
      <c r="AG81"/>
      <c r="AH81"/>
      <c r="AI81"/>
      <c r="AJ81" s="9"/>
      <c r="AK81"/>
      <c r="AL81"/>
      <c r="AM81"/>
      <c r="AN81" s="9"/>
      <c r="AO81"/>
      <c r="AP81"/>
      <c r="AQ81"/>
      <c r="AR81"/>
      <c r="AS81"/>
      <c r="AT81"/>
      <c r="AU81"/>
    </row>
    <row r="82" spans="9:47" x14ac:dyDescent="0.2">
      <c r="I82" s="9"/>
      <c r="L82" s="9"/>
      <c r="O82" s="9"/>
      <c r="R82" s="9"/>
      <c r="S82"/>
      <c r="T82"/>
      <c r="U82"/>
      <c r="V82"/>
      <c r="W82"/>
      <c r="X82"/>
      <c r="Y82"/>
      <c r="Z82"/>
      <c r="AA82"/>
      <c r="AB82"/>
      <c r="AC82"/>
      <c r="AD82"/>
      <c r="AE82"/>
      <c r="AF82"/>
      <c r="AG82"/>
      <c r="AH82"/>
      <c r="AI82"/>
      <c r="AJ82" s="9"/>
      <c r="AK82"/>
      <c r="AL82"/>
      <c r="AM82"/>
      <c r="AN82" s="9"/>
      <c r="AO82"/>
      <c r="AP82"/>
      <c r="AQ82"/>
      <c r="AR82"/>
      <c r="AS82"/>
      <c r="AT82"/>
      <c r="AU82"/>
    </row>
    <row r="83" spans="9:47" x14ac:dyDescent="0.2">
      <c r="I83" s="9"/>
      <c r="L83" s="9"/>
      <c r="O83" s="9"/>
      <c r="R83" s="9"/>
      <c r="S83"/>
      <c r="T83"/>
      <c r="U83"/>
      <c r="V83"/>
      <c r="W83"/>
      <c r="X83"/>
      <c r="Y83"/>
      <c r="Z83"/>
      <c r="AA83"/>
      <c r="AB83"/>
      <c r="AC83"/>
      <c r="AD83"/>
      <c r="AE83"/>
      <c r="AF83"/>
      <c r="AG83"/>
      <c r="AH83"/>
      <c r="AI83"/>
      <c r="AJ83" s="9"/>
      <c r="AK83"/>
      <c r="AL83"/>
      <c r="AM83"/>
      <c r="AN83" s="9"/>
      <c r="AO83"/>
      <c r="AP83"/>
      <c r="AQ83"/>
      <c r="AR83"/>
      <c r="AS83"/>
      <c r="AT83"/>
      <c r="AU83"/>
    </row>
    <row r="84" spans="9:47" x14ac:dyDescent="0.2">
      <c r="I84" s="9"/>
      <c r="L84" s="9"/>
      <c r="O84" s="9"/>
      <c r="R84" s="9"/>
      <c r="S84"/>
      <c r="T84"/>
      <c r="U84"/>
      <c r="V84"/>
      <c r="W84"/>
      <c r="X84"/>
      <c r="Y84"/>
      <c r="Z84"/>
      <c r="AA84"/>
      <c r="AB84"/>
      <c r="AC84"/>
      <c r="AD84"/>
      <c r="AE84"/>
      <c r="AF84"/>
      <c r="AG84"/>
      <c r="AH84"/>
      <c r="AI84"/>
      <c r="AJ84" s="9"/>
      <c r="AK84"/>
      <c r="AL84"/>
      <c r="AM84"/>
      <c r="AN84" s="9"/>
      <c r="AO84"/>
      <c r="AP84"/>
      <c r="AQ84"/>
      <c r="AR84"/>
      <c r="AS84"/>
      <c r="AT84"/>
      <c r="AU84"/>
    </row>
    <row r="85" spans="9:47" x14ac:dyDescent="0.2">
      <c r="I85" s="9"/>
      <c r="L85" s="9"/>
      <c r="O85" s="9"/>
      <c r="R85" s="9"/>
      <c r="S85"/>
      <c r="T85"/>
      <c r="U85"/>
      <c r="V85"/>
      <c r="W85"/>
      <c r="X85"/>
      <c r="Y85"/>
      <c r="Z85"/>
      <c r="AA85"/>
      <c r="AB85"/>
      <c r="AC85"/>
      <c r="AD85"/>
      <c r="AE85"/>
      <c r="AF85"/>
      <c r="AG85"/>
      <c r="AH85"/>
      <c r="AI85"/>
      <c r="AJ85" s="9"/>
      <c r="AK85"/>
      <c r="AL85"/>
      <c r="AM85"/>
      <c r="AN85" s="9"/>
      <c r="AO85"/>
      <c r="AP85"/>
      <c r="AQ85"/>
      <c r="AR85"/>
      <c r="AS85"/>
      <c r="AT85"/>
      <c r="AU85"/>
    </row>
    <row r="86" spans="9:47" x14ac:dyDescent="0.2">
      <c r="I86" s="9"/>
      <c r="L86" s="9"/>
      <c r="O86" s="9"/>
      <c r="R86" s="9"/>
      <c r="S86"/>
      <c r="T86"/>
      <c r="U86"/>
      <c r="V86"/>
      <c r="W86"/>
      <c r="X86"/>
      <c r="Y86"/>
      <c r="Z86"/>
      <c r="AA86"/>
      <c r="AB86"/>
      <c r="AC86"/>
      <c r="AD86"/>
      <c r="AE86"/>
      <c r="AF86"/>
      <c r="AG86"/>
      <c r="AH86"/>
      <c r="AI86"/>
      <c r="AJ86" s="9"/>
      <c r="AK86"/>
      <c r="AL86"/>
      <c r="AM86"/>
      <c r="AN86" s="9"/>
      <c r="AO86"/>
      <c r="AP86"/>
      <c r="AQ86"/>
      <c r="AR86"/>
      <c r="AS86"/>
      <c r="AT86"/>
      <c r="AU86"/>
    </row>
    <row r="87" spans="9:47" x14ac:dyDescent="0.2">
      <c r="I87" s="9"/>
      <c r="L87" s="9"/>
      <c r="O87" s="9"/>
      <c r="R87" s="9"/>
      <c r="S87"/>
      <c r="T87"/>
      <c r="U87"/>
      <c r="V87"/>
      <c r="W87"/>
      <c r="X87"/>
      <c r="Y87"/>
      <c r="Z87"/>
      <c r="AA87"/>
      <c r="AB87"/>
      <c r="AC87"/>
      <c r="AD87"/>
      <c r="AE87"/>
      <c r="AF87"/>
      <c r="AG87"/>
      <c r="AH87"/>
      <c r="AI87"/>
      <c r="AJ87" s="9"/>
      <c r="AK87"/>
      <c r="AL87"/>
      <c r="AM87"/>
      <c r="AN87" s="9"/>
      <c r="AO87"/>
      <c r="AP87"/>
      <c r="AQ87"/>
      <c r="AR87"/>
      <c r="AS87"/>
      <c r="AT87"/>
      <c r="AU87"/>
    </row>
    <row r="88" spans="9:47" x14ac:dyDescent="0.2">
      <c r="I88" s="9"/>
      <c r="L88" s="9"/>
      <c r="O88" s="9"/>
      <c r="R88" s="9"/>
      <c r="S88"/>
      <c r="T88"/>
      <c r="U88"/>
      <c r="V88"/>
      <c r="W88"/>
      <c r="X88"/>
      <c r="Y88"/>
      <c r="Z88"/>
      <c r="AA88"/>
      <c r="AB88"/>
      <c r="AC88"/>
      <c r="AD88"/>
      <c r="AE88"/>
      <c r="AF88"/>
      <c r="AG88"/>
      <c r="AH88"/>
      <c r="AI88"/>
      <c r="AJ88" s="9"/>
      <c r="AK88"/>
      <c r="AL88"/>
      <c r="AM88"/>
      <c r="AN88" s="9"/>
      <c r="AO88"/>
      <c r="AP88"/>
      <c r="AQ88"/>
      <c r="AR88"/>
      <c r="AS88"/>
      <c r="AT88"/>
      <c r="AU88"/>
    </row>
    <row r="89" spans="9:47" x14ac:dyDescent="0.2">
      <c r="I89" s="9"/>
      <c r="L89" s="9"/>
      <c r="O89" s="9"/>
      <c r="R89" s="9"/>
      <c r="S89"/>
      <c r="T89"/>
      <c r="U89"/>
      <c r="V89"/>
      <c r="W89"/>
      <c r="X89"/>
      <c r="Y89"/>
      <c r="Z89"/>
      <c r="AA89"/>
      <c r="AB89"/>
      <c r="AC89"/>
      <c r="AD89"/>
      <c r="AE89"/>
      <c r="AF89"/>
      <c r="AG89"/>
      <c r="AH89"/>
      <c r="AI89"/>
      <c r="AJ89" s="9"/>
      <c r="AK89"/>
      <c r="AL89"/>
      <c r="AM89"/>
      <c r="AN89" s="9"/>
      <c r="AO89"/>
      <c r="AP89"/>
      <c r="AQ89"/>
      <c r="AR89"/>
      <c r="AS89"/>
      <c r="AT89"/>
      <c r="AU89"/>
    </row>
    <row r="90" spans="9:47" x14ac:dyDescent="0.2">
      <c r="I90" s="9"/>
      <c r="L90" s="9"/>
      <c r="O90" s="9"/>
      <c r="R90" s="9"/>
      <c r="S90"/>
      <c r="T90"/>
      <c r="U90"/>
      <c r="V90"/>
      <c r="W90"/>
      <c r="X90"/>
      <c r="Y90"/>
      <c r="Z90"/>
      <c r="AA90"/>
      <c r="AB90"/>
      <c r="AC90"/>
      <c r="AD90"/>
      <c r="AE90"/>
      <c r="AF90"/>
      <c r="AG90"/>
      <c r="AH90"/>
      <c r="AI90"/>
      <c r="AJ90" s="9"/>
      <c r="AK90"/>
      <c r="AL90"/>
      <c r="AM90"/>
      <c r="AN90" s="9"/>
      <c r="AO90"/>
      <c r="AP90"/>
      <c r="AQ90"/>
      <c r="AR90"/>
      <c r="AS90"/>
      <c r="AT90"/>
      <c r="AU90"/>
    </row>
    <row r="91" spans="9:47" x14ac:dyDescent="0.2">
      <c r="I91" s="9"/>
      <c r="L91" s="9"/>
      <c r="O91" s="9"/>
      <c r="R91" s="9"/>
      <c r="S91"/>
      <c r="T91"/>
      <c r="U91"/>
      <c r="V91"/>
      <c r="W91"/>
      <c r="X91"/>
      <c r="Y91"/>
      <c r="Z91"/>
      <c r="AA91"/>
      <c r="AB91"/>
      <c r="AC91"/>
      <c r="AD91"/>
      <c r="AE91"/>
      <c r="AF91"/>
      <c r="AG91"/>
      <c r="AH91"/>
      <c r="AI91"/>
      <c r="AJ91" s="9"/>
      <c r="AK91"/>
      <c r="AL91"/>
      <c r="AM91"/>
      <c r="AN91" s="9"/>
      <c r="AO91"/>
      <c r="AP91"/>
      <c r="AQ91"/>
      <c r="AR91"/>
      <c r="AS91"/>
      <c r="AT91"/>
      <c r="AU91"/>
    </row>
    <row r="92" spans="9:47" x14ac:dyDescent="0.2">
      <c r="I92" s="9"/>
      <c r="L92" s="9"/>
      <c r="O92" s="9"/>
      <c r="R92" s="9"/>
      <c r="S92"/>
      <c r="T92"/>
      <c r="U92"/>
      <c r="V92"/>
      <c r="W92"/>
      <c r="X92"/>
      <c r="Y92"/>
      <c r="Z92"/>
      <c r="AA92"/>
      <c r="AB92"/>
      <c r="AC92"/>
      <c r="AD92"/>
      <c r="AE92"/>
      <c r="AF92"/>
      <c r="AG92"/>
      <c r="AH92"/>
      <c r="AI92"/>
      <c r="AJ92" s="9"/>
      <c r="AK92"/>
      <c r="AL92"/>
      <c r="AM92"/>
      <c r="AN92" s="9"/>
      <c r="AO92"/>
      <c r="AP92"/>
      <c r="AQ92"/>
      <c r="AR92"/>
      <c r="AS92"/>
      <c r="AT92"/>
      <c r="AU92"/>
    </row>
    <row r="93" spans="9:47" x14ac:dyDescent="0.2">
      <c r="I93" s="9"/>
      <c r="L93" s="9"/>
      <c r="O93" s="9"/>
      <c r="R93" s="9"/>
      <c r="S93"/>
      <c r="T93"/>
      <c r="U93"/>
      <c r="V93"/>
      <c r="W93"/>
      <c r="X93"/>
      <c r="Y93"/>
      <c r="Z93"/>
      <c r="AA93"/>
      <c r="AB93"/>
      <c r="AC93"/>
      <c r="AD93"/>
      <c r="AE93"/>
      <c r="AF93"/>
      <c r="AG93"/>
      <c r="AH93"/>
      <c r="AI93"/>
      <c r="AJ93" s="9"/>
      <c r="AK93"/>
      <c r="AL93"/>
      <c r="AM93"/>
      <c r="AN93" s="9"/>
      <c r="AO93"/>
      <c r="AP93"/>
      <c r="AQ93"/>
      <c r="AR93"/>
      <c r="AS93"/>
      <c r="AT93"/>
      <c r="AU93"/>
    </row>
    <row r="94" spans="9:47" x14ac:dyDescent="0.2">
      <c r="I94" s="9"/>
      <c r="L94" s="9"/>
      <c r="O94" s="9"/>
      <c r="R94" s="9"/>
      <c r="S94"/>
      <c r="T94"/>
      <c r="U94"/>
      <c r="V94"/>
      <c r="W94"/>
      <c r="X94"/>
      <c r="Y94"/>
      <c r="Z94"/>
      <c r="AA94"/>
      <c r="AB94"/>
      <c r="AC94"/>
      <c r="AD94"/>
      <c r="AE94"/>
      <c r="AF94"/>
      <c r="AG94"/>
      <c r="AH94"/>
      <c r="AI94"/>
      <c r="AJ94" s="9"/>
      <c r="AK94"/>
      <c r="AL94"/>
      <c r="AM94"/>
      <c r="AN94" s="9"/>
      <c r="AO94"/>
      <c r="AP94"/>
      <c r="AQ94"/>
      <c r="AR94"/>
      <c r="AS94"/>
      <c r="AT94"/>
      <c r="AU94"/>
    </row>
    <row r="95" spans="9:47" x14ac:dyDescent="0.2">
      <c r="I95" s="9"/>
      <c r="L95" s="9"/>
      <c r="O95" s="9"/>
      <c r="R95" s="9"/>
      <c r="S95"/>
      <c r="T95"/>
      <c r="U95"/>
      <c r="V95"/>
      <c r="W95"/>
      <c r="X95"/>
      <c r="Y95"/>
      <c r="Z95"/>
      <c r="AA95"/>
      <c r="AB95"/>
      <c r="AC95"/>
      <c r="AD95"/>
      <c r="AE95"/>
      <c r="AF95"/>
      <c r="AG95"/>
      <c r="AH95"/>
      <c r="AI95"/>
      <c r="AJ95" s="9"/>
      <c r="AK95"/>
      <c r="AL95"/>
      <c r="AM95"/>
      <c r="AN95" s="9"/>
      <c r="AO95"/>
      <c r="AP95"/>
      <c r="AQ95"/>
      <c r="AR95"/>
      <c r="AS95"/>
      <c r="AT95"/>
      <c r="AU95"/>
    </row>
    <row r="96" spans="9:47" x14ac:dyDescent="0.2">
      <c r="I96" s="9"/>
      <c r="L96" s="9"/>
      <c r="O96" s="9"/>
      <c r="R96" s="9"/>
      <c r="S96"/>
      <c r="T96"/>
      <c r="U96"/>
      <c r="V96"/>
      <c r="W96"/>
      <c r="X96"/>
      <c r="Y96"/>
      <c r="Z96"/>
      <c r="AA96"/>
      <c r="AB96"/>
      <c r="AC96"/>
      <c r="AD96"/>
      <c r="AE96"/>
      <c r="AF96"/>
      <c r="AG96"/>
      <c r="AH96"/>
      <c r="AI96"/>
      <c r="AJ96" s="9"/>
      <c r="AK96"/>
      <c r="AL96"/>
      <c r="AM96"/>
      <c r="AN96" s="9"/>
      <c r="AO96"/>
      <c r="AP96"/>
      <c r="AQ96"/>
      <c r="AR96"/>
      <c r="AS96"/>
      <c r="AT96"/>
      <c r="AU96"/>
    </row>
    <row r="97" spans="9:47" x14ac:dyDescent="0.2">
      <c r="I97" s="9"/>
      <c r="L97" s="9"/>
      <c r="O97" s="9"/>
      <c r="R97" s="9"/>
      <c r="S97"/>
      <c r="T97"/>
      <c r="U97"/>
      <c r="V97"/>
      <c r="W97"/>
      <c r="X97"/>
      <c r="Y97"/>
      <c r="Z97"/>
      <c r="AA97"/>
      <c r="AB97"/>
      <c r="AC97"/>
      <c r="AD97"/>
      <c r="AE97"/>
      <c r="AF97"/>
      <c r="AG97"/>
      <c r="AH97"/>
      <c r="AI97"/>
      <c r="AJ97" s="9"/>
      <c r="AK97"/>
      <c r="AL97"/>
      <c r="AM97"/>
      <c r="AN97" s="9"/>
      <c r="AO97"/>
      <c r="AP97"/>
      <c r="AQ97"/>
      <c r="AR97"/>
      <c r="AS97"/>
      <c r="AT97"/>
      <c r="AU97"/>
    </row>
    <row r="98" spans="9:47" x14ac:dyDescent="0.2">
      <c r="I98" s="9"/>
      <c r="L98" s="9"/>
      <c r="O98" s="9"/>
      <c r="R98" s="9"/>
      <c r="S98"/>
      <c r="T98"/>
      <c r="U98"/>
      <c r="V98"/>
      <c r="W98"/>
      <c r="X98"/>
      <c r="Y98"/>
      <c r="Z98"/>
      <c r="AA98"/>
      <c r="AB98"/>
      <c r="AC98"/>
      <c r="AD98"/>
      <c r="AE98"/>
      <c r="AF98"/>
      <c r="AG98"/>
      <c r="AH98"/>
      <c r="AI98"/>
      <c r="AJ98" s="9"/>
      <c r="AK98"/>
      <c r="AL98"/>
      <c r="AM98"/>
      <c r="AN98" s="9"/>
      <c r="AO98"/>
      <c r="AP98"/>
      <c r="AQ98"/>
      <c r="AR98"/>
      <c r="AS98"/>
      <c r="AT98"/>
      <c r="AU98"/>
    </row>
    <row r="99" spans="9:47" x14ac:dyDescent="0.2">
      <c r="I99" s="9"/>
      <c r="L99" s="9"/>
      <c r="O99" s="9"/>
      <c r="R99" s="9"/>
      <c r="S99"/>
      <c r="T99"/>
      <c r="U99"/>
      <c r="V99"/>
      <c r="W99"/>
      <c r="X99"/>
      <c r="Y99"/>
      <c r="Z99"/>
      <c r="AA99"/>
      <c r="AB99"/>
      <c r="AC99"/>
      <c r="AD99"/>
      <c r="AE99"/>
      <c r="AF99"/>
      <c r="AG99"/>
      <c r="AH99"/>
      <c r="AI99"/>
      <c r="AJ99" s="9"/>
      <c r="AK99"/>
      <c r="AL99"/>
      <c r="AM99"/>
      <c r="AN99" s="9"/>
      <c r="AO99"/>
      <c r="AP99"/>
      <c r="AQ99"/>
      <c r="AR99"/>
      <c r="AS99"/>
      <c r="AT99"/>
      <c r="AU99"/>
    </row>
    <row r="100" spans="9:47" x14ac:dyDescent="0.2">
      <c r="I100" s="9"/>
      <c r="L100" s="9"/>
      <c r="O100" s="9"/>
      <c r="R100" s="9"/>
      <c r="S100"/>
      <c r="T100"/>
      <c r="U100"/>
      <c r="V100"/>
      <c r="W100"/>
      <c r="X100"/>
      <c r="Y100"/>
      <c r="Z100"/>
      <c r="AA100"/>
      <c r="AB100"/>
      <c r="AC100"/>
      <c r="AD100"/>
      <c r="AE100"/>
      <c r="AF100"/>
      <c r="AG100"/>
      <c r="AH100"/>
      <c r="AI100"/>
      <c r="AJ100" s="9"/>
      <c r="AK100"/>
      <c r="AL100"/>
      <c r="AM100"/>
      <c r="AN100" s="9"/>
      <c r="AO100"/>
      <c r="AP100"/>
      <c r="AQ100"/>
      <c r="AR100"/>
      <c r="AS100"/>
      <c r="AT100"/>
      <c r="AU100"/>
    </row>
    <row r="101" spans="9:47" x14ac:dyDescent="0.2">
      <c r="I101" s="9"/>
      <c r="L101" s="9"/>
      <c r="O101" s="9"/>
      <c r="R101" s="9"/>
      <c r="S101"/>
      <c r="T101"/>
      <c r="U101"/>
      <c r="V101"/>
      <c r="W101"/>
      <c r="X101"/>
      <c r="Y101"/>
      <c r="Z101"/>
      <c r="AA101"/>
      <c r="AB101"/>
      <c r="AC101"/>
      <c r="AD101"/>
      <c r="AE101"/>
      <c r="AF101"/>
      <c r="AG101"/>
      <c r="AH101"/>
      <c r="AI101"/>
      <c r="AJ101" s="9"/>
      <c r="AK101"/>
      <c r="AL101"/>
      <c r="AM101"/>
      <c r="AN101" s="9"/>
      <c r="AO101"/>
      <c r="AP101"/>
      <c r="AQ101"/>
      <c r="AR101"/>
      <c r="AS101"/>
      <c r="AT101"/>
      <c r="AU101"/>
    </row>
    <row r="102" spans="9:47" x14ac:dyDescent="0.2">
      <c r="I102" s="9"/>
      <c r="L102" s="9"/>
      <c r="O102" s="9"/>
      <c r="R102" s="9"/>
      <c r="S102"/>
      <c r="T102"/>
      <c r="U102"/>
      <c r="V102"/>
      <c r="W102"/>
      <c r="X102"/>
      <c r="Y102"/>
      <c r="Z102"/>
      <c r="AA102"/>
      <c r="AB102"/>
      <c r="AC102"/>
      <c r="AD102"/>
      <c r="AE102"/>
      <c r="AF102"/>
      <c r="AG102"/>
      <c r="AH102"/>
      <c r="AI102"/>
      <c r="AJ102" s="9"/>
      <c r="AK102"/>
      <c r="AL102"/>
      <c r="AM102"/>
      <c r="AN102" s="9"/>
      <c r="AO102"/>
      <c r="AP102"/>
      <c r="AQ102"/>
      <c r="AR102"/>
      <c r="AS102"/>
      <c r="AT102"/>
      <c r="AU102"/>
    </row>
    <row r="103" spans="9:47" x14ac:dyDescent="0.2">
      <c r="I103" s="9"/>
      <c r="L103" s="9"/>
      <c r="O103" s="9"/>
      <c r="R103" s="9"/>
      <c r="S103"/>
      <c r="T103"/>
      <c r="U103"/>
      <c r="V103"/>
      <c r="W103"/>
      <c r="X103"/>
      <c r="Y103"/>
      <c r="Z103"/>
      <c r="AA103"/>
      <c r="AB103"/>
      <c r="AC103"/>
      <c r="AD103"/>
      <c r="AE103"/>
      <c r="AF103"/>
      <c r="AG103"/>
      <c r="AH103"/>
      <c r="AI103"/>
      <c r="AJ103" s="9"/>
      <c r="AK103"/>
      <c r="AL103"/>
      <c r="AM103"/>
      <c r="AN103" s="9"/>
      <c r="AO103"/>
      <c r="AP103"/>
      <c r="AQ103"/>
      <c r="AR103"/>
      <c r="AS103"/>
      <c r="AT103"/>
      <c r="AU103"/>
    </row>
    <row r="104" spans="9:47" x14ac:dyDescent="0.2">
      <c r="I104" s="9"/>
      <c r="L104" s="9"/>
      <c r="O104" s="9"/>
      <c r="R104" s="9"/>
      <c r="S104"/>
      <c r="T104"/>
      <c r="U104"/>
      <c r="V104"/>
      <c r="W104"/>
      <c r="X104"/>
      <c r="Y104"/>
      <c r="Z104"/>
      <c r="AA104"/>
      <c r="AB104"/>
      <c r="AC104"/>
      <c r="AD104"/>
      <c r="AE104"/>
      <c r="AF104"/>
      <c r="AG104"/>
      <c r="AH104"/>
      <c r="AI104"/>
      <c r="AJ104" s="9"/>
      <c r="AK104"/>
      <c r="AL104"/>
      <c r="AM104"/>
      <c r="AN104" s="9"/>
      <c r="AO104"/>
      <c r="AP104"/>
      <c r="AQ104"/>
      <c r="AR104"/>
      <c r="AS104"/>
      <c r="AT104"/>
      <c r="AU104"/>
    </row>
    <row r="105" spans="9:47" x14ac:dyDescent="0.2">
      <c r="I105" s="9"/>
      <c r="L105" s="9"/>
      <c r="O105" s="9"/>
      <c r="R105" s="9"/>
      <c r="S105"/>
      <c r="T105"/>
      <c r="U105"/>
      <c r="V105"/>
      <c r="W105"/>
      <c r="X105"/>
      <c r="Y105"/>
      <c r="Z105"/>
      <c r="AA105"/>
      <c r="AB105"/>
      <c r="AC105"/>
      <c r="AD105"/>
      <c r="AE105"/>
      <c r="AF105"/>
      <c r="AG105"/>
      <c r="AH105"/>
      <c r="AI105"/>
      <c r="AJ105" s="9"/>
      <c r="AK105"/>
      <c r="AL105"/>
      <c r="AM105"/>
      <c r="AN105" s="9"/>
      <c r="AO105"/>
      <c r="AP105"/>
      <c r="AQ105"/>
      <c r="AR105"/>
      <c r="AS105"/>
      <c r="AT105"/>
      <c r="AU105"/>
    </row>
    <row r="106" spans="9:47" x14ac:dyDescent="0.2">
      <c r="I106" s="9"/>
      <c r="L106" s="9"/>
      <c r="O106" s="9"/>
      <c r="R106" s="9"/>
      <c r="S106"/>
      <c r="T106"/>
      <c r="U106"/>
      <c r="V106"/>
      <c r="W106"/>
      <c r="X106"/>
      <c r="Y106"/>
      <c r="Z106"/>
      <c r="AA106"/>
      <c r="AB106"/>
      <c r="AC106"/>
      <c r="AD106"/>
      <c r="AE106"/>
      <c r="AF106"/>
      <c r="AG106"/>
      <c r="AH106"/>
      <c r="AI106"/>
      <c r="AJ106" s="9"/>
      <c r="AK106"/>
      <c r="AL106"/>
      <c r="AM106"/>
      <c r="AN106" s="9"/>
      <c r="AO106"/>
      <c r="AP106"/>
      <c r="AQ106"/>
      <c r="AR106"/>
      <c r="AS106"/>
      <c r="AT106"/>
      <c r="AU106"/>
    </row>
    <row r="107" spans="9:47" x14ac:dyDescent="0.2">
      <c r="I107" s="9"/>
      <c r="L107" s="9"/>
      <c r="O107" s="9"/>
      <c r="R107" s="9"/>
      <c r="S107"/>
      <c r="T107"/>
      <c r="U107"/>
      <c r="V107"/>
      <c r="W107"/>
      <c r="X107"/>
      <c r="Y107"/>
      <c r="Z107"/>
      <c r="AA107"/>
      <c r="AB107"/>
      <c r="AC107"/>
      <c r="AD107"/>
      <c r="AE107"/>
      <c r="AF107"/>
      <c r="AG107"/>
      <c r="AH107"/>
      <c r="AI107"/>
      <c r="AJ107" s="9"/>
      <c r="AK107"/>
      <c r="AL107"/>
      <c r="AM107"/>
      <c r="AN107" s="9"/>
      <c r="AO107"/>
      <c r="AP107"/>
      <c r="AQ107"/>
      <c r="AR107"/>
      <c r="AS107"/>
      <c r="AT107"/>
      <c r="AU107"/>
    </row>
    <row r="108" spans="9:47" x14ac:dyDescent="0.2">
      <c r="I108" s="9"/>
      <c r="L108" s="9"/>
      <c r="O108" s="9"/>
      <c r="R108" s="9"/>
      <c r="S108"/>
      <c r="T108"/>
      <c r="U108"/>
      <c r="V108"/>
      <c r="W108"/>
      <c r="X108"/>
      <c r="Y108"/>
      <c r="Z108"/>
      <c r="AA108"/>
      <c r="AB108"/>
      <c r="AC108"/>
      <c r="AD108"/>
      <c r="AE108"/>
      <c r="AF108"/>
      <c r="AG108"/>
      <c r="AH108"/>
      <c r="AI108"/>
      <c r="AJ108" s="9"/>
      <c r="AK108"/>
      <c r="AL108"/>
      <c r="AM108"/>
      <c r="AN108" s="9"/>
      <c r="AO108"/>
      <c r="AP108"/>
      <c r="AQ108"/>
      <c r="AR108"/>
      <c r="AS108"/>
      <c r="AT108"/>
      <c r="AU108"/>
    </row>
    <row r="109" spans="9:47" x14ac:dyDescent="0.2">
      <c r="I109" s="9"/>
      <c r="L109" s="9"/>
      <c r="O109" s="9"/>
      <c r="R109" s="9"/>
      <c r="S109"/>
      <c r="T109"/>
      <c r="U109"/>
      <c r="V109"/>
      <c r="W109"/>
      <c r="X109"/>
      <c r="Y109"/>
      <c r="Z109"/>
      <c r="AA109"/>
      <c r="AB109"/>
      <c r="AC109"/>
      <c r="AD109"/>
      <c r="AE109"/>
      <c r="AF109"/>
      <c r="AG109"/>
      <c r="AH109"/>
      <c r="AI109"/>
      <c r="AJ109" s="9"/>
      <c r="AK109"/>
      <c r="AL109"/>
      <c r="AM109"/>
      <c r="AN109" s="9"/>
      <c r="AO109"/>
      <c r="AP109"/>
      <c r="AQ109"/>
      <c r="AR109"/>
      <c r="AS109"/>
      <c r="AT109"/>
      <c r="AU109"/>
    </row>
    <row r="110" spans="9:47" x14ac:dyDescent="0.2">
      <c r="I110" s="9"/>
      <c r="L110" s="9"/>
      <c r="O110" s="9"/>
      <c r="R110" s="9"/>
      <c r="S110"/>
      <c r="T110"/>
      <c r="U110"/>
      <c r="V110"/>
      <c r="W110"/>
      <c r="X110"/>
      <c r="Y110"/>
      <c r="Z110"/>
      <c r="AA110"/>
      <c r="AB110"/>
      <c r="AC110"/>
      <c r="AD110"/>
      <c r="AE110"/>
      <c r="AF110"/>
      <c r="AG110"/>
      <c r="AH110"/>
      <c r="AI110"/>
      <c r="AJ110" s="9"/>
      <c r="AK110"/>
      <c r="AL110"/>
      <c r="AM110"/>
      <c r="AN110" s="9"/>
      <c r="AO110"/>
      <c r="AP110"/>
      <c r="AQ110"/>
      <c r="AR110"/>
      <c r="AS110"/>
      <c r="AT110"/>
      <c r="AU110"/>
    </row>
    <row r="111" spans="9:47" x14ac:dyDescent="0.2">
      <c r="I111" s="9"/>
      <c r="L111" s="9"/>
      <c r="O111" s="9"/>
      <c r="R111" s="9"/>
      <c r="S111"/>
      <c r="T111"/>
      <c r="U111"/>
      <c r="V111"/>
      <c r="W111"/>
      <c r="X111"/>
      <c r="Y111"/>
      <c r="Z111"/>
      <c r="AA111"/>
      <c r="AB111"/>
      <c r="AC111"/>
      <c r="AD111"/>
      <c r="AE111"/>
      <c r="AF111"/>
      <c r="AG111"/>
      <c r="AH111"/>
      <c r="AI111"/>
      <c r="AJ111" s="9"/>
      <c r="AK111"/>
      <c r="AL111"/>
      <c r="AM111"/>
      <c r="AN111" s="9"/>
      <c r="AO111"/>
      <c r="AP111"/>
      <c r="AQ111"/>
      <c r="AR111"/>
      <c r="AS111"/>
      <c r="AT111"/>
      <c r="AU111"/>
    </row>
    <row r="112" spans="9:47" x14ac:dyDescent="0.2">
      <c r="I112" s="9"/>
      <c r="L112" s="9"/>
      <c r="O112" s="9"/>
      <c r="R112" s="9"/>
      <c r="S112"/>
      <c r="T112"/>
      <c r="U112"/>
      <c r="V112"/>
      <c r="W112"/>
      <c r="X112"/>
      <c r="Y112"/>
      <c r="Z112"/>
      <c r="AA112"/>
      <c r="AB112"/>
      <c r="AC112"/>
      <c r="AD112"/>
      <c r="AE112"/>
      <c r="AF112"/>
      <c r="AG112"/>
      <c r="AH112"/>
      <c r="AI112"/>
      <c r="AJ112" s="9"/>
      <c r="AK112"/>
      <c r="AL112"/>
      <c r="AM112"/>
      <c r="AN112" s="9"/>
      <c r="AO112"/>
      <c r="AP112"/>
      <c r="AQ112"/>
      <c r="AR112"/>
      <c r="AS112"/>
      <c r="AT112"/>
      <c r="AU112"/>
    </row>
    <row r="113" spans="9:47" x14ac:dyDescent="0.2">
      <c r="I113" s="9"/>
      <c r="L113" s="9"/>
      <c r="O113" s="9"/>
      <c r="R113" s="9"/>
      <c r="S113"/>
      <c r="T113"/>
      <c r="U113"/>
      <c r="V113"/>
      <c r="W113"/>
      <c r="X113"/>
      <c r="Y113"/>
      <c r="Z113"/>
      <c r="AA113"/>
      <c r="AB113"/>
      <c r="AC113"/>
      <c r="AD113"/>
      <c r="AE113"/>
      <c r="AF113"/>
      <c r="AG113"/>
      <c r="AH113"/>
      <c r="AI113"/>
      <c r="AJ113" s="9"/>
      <c r="AK113"/>
      <c r="AL113"/>
      <c r="AM113"/>
      <c r="AN113" s="9"/>
      <c r="AO113"/>
      <c r="AP113"/>
      <c r="AQ113"/>
      <c r="AR113"/>
      <c r="AS113"/>
      <c r="AT113"/>
      <c r="AU113"/>
    </row>
    <row r="114" spans="9:47" x14ac:dyDescent="0.2">
      <c r="I114" s="9"/>
      <c r="L114" s="9"/>
      <c r="O114" s="9"/>
      <c r="R114" s="9"/>
      <c r="S114"/>
      <c r="T114"/>
      <c r="U114"/>
      <c r="V114"/>
      <c r="W114"/>
      <c r="X114"/>
      <c r="Y114"/>
      <c r="Z114"/>
      <c r="AA114"/>
      <c r="AB114"/>
      <c r="AC114"/>
      <c r="AD114"/>
      <c r="AE114"/>
      <c r="AF114"/>
      <c r="AG114"/>
      <c r="AH114"/>
      <c r="AI114"/>
      <c r="AJ114" s="9"/>
      <c r="AK114"/>
      <c r="AL114"/>
      <c r="AM114"/>
      <c r="AN114" s="9"/>
      <c r="AO114"/>
      <c r="AP114"/>
      <c r="AQ114"/>
      <c r="AR114"/>
      <c r="AS114"/>
      <c r="AT114"/>
      <c r="AU114"/>
    </row>
    <row r="115" spans="9:47" x14ac:dyDescent="0.2">
      <c r="I115" s="9"/>
      <c r="L115" s="9"/>
      <c r="O115" s="9"/>
      <c r="R115" s="9"/>
      <c r="S115"/>
      <c r="T115"/>
      <c r="U115"/>
      <c r="V115"/>
      <c r="W115"/>
      <c r="X115"/>
      <c r="Y115"/>
      <c r="Z115"/>
      <c r="AA115"/>
      <c r="AB115"/>
      <c r="AC115"/>
      <c r="AD115"/>
      <c r="AE115"/>
      <c r="AF115"/>
      <c r="AG115"/>
      <c r="AH115"/>
      <c r="AI115"/>
      <c r="AJ115" s="9"/>
      <c r="AK115"/>
      <c r="AL115"/>
      <c r="AM115"/>
      <c r="AN115" s="9"/>
      <c r="AO115"/>
      <c r="AP115"/>
      <c r="AQ115"/>
      <c r="AR115"/>
      <c r="AS115"/>
      <c r="AT115"/>
      <c r="AU115"/>
    </row>
    <row r="116" spans="9:47" x14ac:dyDescent="0.2">
      <c r="I116" s="9"/>
      <c r="L116" s="9"/>
      <c r="O116" s="9"/>
      <c r="R116" s="9"/>
      <c r="S116"/>
      <c r="T116"/>
      <c r="U116"/>
      <c r="V116"/>
      <c r="W116"/>
      <c r="X116"/>
      <c r="Y116"/>
      <c r="Z116"/>
      <c r="AA116"/>
      <c r="AB116"/>
      <c r="AC116"/>
      <c r="AD116"/>
      <c r="AE116"/>
      <c r="AF116"/>
      <c r="AG116"/>
      <c r="AH116"/>
      <c r="AI116"/>
      <c r="AJ116" s="9"/>
      <c r="AK116"/>
      <c r="AL116"/>
      <c r="AM116"/>
      <c r="AN116" s="9"/>
      <c r="AO116"/>
      <c r="AP116"/>
      <c r="AQ116"/>
      <c r="AR116"/>
      <c r="AS116"/>
      <c r="AT116"/>
      <c r="AU116"/>
    </row>
    <row r="117" spans="9:47" x14ac:dyDescent="0.2">
      <c r="I117" s="9"/>
      <c r="L117" s="9"/>
      <c r="O117" s="9"/>
      <c r="R117" s="9"/>
      <c r="S117"/>
      <c r="T117"/>
      <c r="U117"/>
      <c r="V117"/>
      <c r="W117"/>
      <c r="X117"/>
      <c r="Y117"/>
      <c r="Z117"/>
      <c r="AA117"/>
      <c r="AB117"/>
      <c r="AC117"/>
      <c r="AD117"/>
      <c r="AE117"/>
      <c r="AF117"/>
      <c r="AG117"/>
      <c r="AH117"/>
      <c r="AI117"/>
      <c r="AJ117" s="9"/>
      <c r="AK117"/>
      <c r="AL117"/>
      <c r="AM117"/>
      <c r="AN117" s="9"/>
      <c r="AO117"/>
      <c r="AP117"/>
      <c r="AQ117"/>
      <c r="AR117"/>
      <c r="AS117"/>
      <c r="AT117"/>
      <c r="AU117"/>
    </row>
    <row r="118" spans="9:47" x14ac:dyDescent="0.2">
      <c r="I118" s="9"/>
      <c r="L118" s="9"/>
      <c r="O118" s="9"/>
      <c r="R118" s="9"/>
      <c r="S118"/>
      <c r="T118"/>
      <c r="U118"/>
      <c r="V118"/>
      <c r="W118"/>
      <c r="X118"/>
      <c r="Y118"/>
      <c r="Z118"/>
      <c r="AA118"/>
      <c r="AB118"/>
      <c r="AC118"/>
      <c r="AD118"/>
      <c r="AE118"/>
      <c r="AF118"/>
      <c r="AG118"/>
      <c r="AH118"/>
      <c r="AI118"/>
      <c r="AJ118" s="9"/>
      <c r="AK118"/>
      <c r="AL118"/>
      <c r="AM118"/>
      <c r="AN118" s="9"/>
      <c r="AO118"/>
      <c r="AP118"/>
      <c r="AQ118"/>
      <c r="AR118"/>
      <c r="AS118"/>
      <c r="AT118"/>
      <c r="AU118"/>
    </row>
    <row r="119" spans="9:47" x14ac:dyDescent="0.2">
      <c r="I119" s="9"/>
      <c r="L119" s="9"/>
      <c r="O119" s="9"/>
      <c r="R119" s="9"/>
      <c r="S119"/>
      <c r="T119"/>
      <c r="U119"/>
      <c r="V119"/>
      <c r="W119"/>
      <c r="X119"/>
      <c r="Y119"/>
      <c r="Z119"/>
      <c r="AA119"/>
      <c r="AB119"/>
      <c r="AC119"/>
      <c r="AD119"/>
      <c r="AE119"/>
      <c r="AF119"/>
      <c r="AG119"/>
      <c r="AH119"/>
      <c r="AI119"/>
      <c r="AJ119" s="9"/>
      <c r="AK119"/>
      <c r="AL119"/>
      <c r="AM119"/>
      <c r="AN119" s="9"/>
      <c r="AO119"/>
      <c r="AP119"/>
      <c r="AQ119"/>
      <c r="AR119"/>
      <c r="AS119"/>
      <c r="AT119"/>
      <c r="AU119"/>
    </row>
    <row r="120" spans="9:47" x14ac:dyDescent="0.2">
      <c r="I120" s="9"/>
      <c r="L120" s="9"/>
      <c r="O120" s="9"/>
      <c r="R120" s="9"/>
      <c r="S120"/>
      <c r="T120"/>
      <c r="U120"/>
      <c r="V120"/>
      <c r="W120"/>
      <c r="X120"/>
      <c r="Y120"/>
      <c r="Z120"/>
      <c r="AA120"/>
      <c r="AB120"/>
      <c r="AC120"/>
      <c r="AD120"/>
      <c r="AE120"/>
      <c r="AF120"/>
      <c r="AG120"/>
      <c r="AH120"/>
      <c r="AI120"/>
      <c r="AJ120" s="9"/>
      <c r="AK120"/>
      <c r="AL120"/>
      <c r="AM120"/>
      <c r="AN120" s="9"/>
      <c r="AO120"/>
      <c r="AP120"/>
      <c r="AQ120"/>
      <c r="AR120"/>
      <c r="AS120"/>
      <c r="AT120"/>
      <c r="AU120"/>
    </row>
    <row r="121" spans="9:47" x14ac:dyDescent="0.2">
      <c r="I121" s="9"/>
      <c r="L121" s="9"/>
      <c r="O121" s="9"/>
      <c r="R121" s="9"/>
      <c r="S121"/>
      <c r="T121"/>
      <c r="U121"/>
      <c r="V121"/>
      <c r="W121"/>
      <c r="X121"/>
      <c r="Y121"/>
      <c r="Z121"/>
      <c r="AA121"/>
      <c r="AB121"/>
      <c r="AC121"/>
      <c r="AD121"/>
      <c r="AE121"/>
      <c r="AF121"/>
      <c r="AG121"/>
      <c r="AH121"/>
      <c r="AI121"/>
      <c r="AJ121" s="9"/>
      <c r="AK121"/>
      <c r="AL121"/>
      <c r="AM121"/>
      <c r="AN121" s="9"/>
      <c r="AO121"/>
      <c r="AP121"/>
      <c r="AQ121"/>
      <c r="AR121"/>
      <c r="AS121"/>
      <c r="AT121"/>
      <c r="AU121"/>
    </row>
    <row r="122" spans="9:47" x14ac:dyDescent="0.2">
      <c r="I122" s="9"/>
      <c r="L122" s="9"/>
      <c r="O122" s="9"/>
      <c r="R122" s="9"/>
      <c r="S122"/>
      <c r="T122"/>
      <c r="U122"/>
      <c r="V122"/>
      <c r="W122"/>
      <c r="X122"/>
      <c r="Y122"/>
      <c r="Z122"/>
      <c r="AA122"/>
      <c r="AB122"/>
      <c r="AC122"/>
      <c r="AD122"/>
      <c r="AE122"/>
      <c r="AF122"/>
      <c r="AG122"/>
      <c r="AH122"/>
      <c r="AI122"/>
      <c r="AJ122" s="9"/>
      <c r="AK122"/>
      <c r="AL122"/>
      <c r="AM122"/>
      <c r="AN122" s="9"/>
      <c r="AO122"/>
      <c r="AP122"/>
      <c r="AQ122"/>
      <c r="AR122"/>
      <c r="AS122"/>
      <c r="AT122"/>
      <c r="AU122"/>
    </row>
    <row r="123" spans="9:47" x14ac:dyDescent="0.2">
      <c r="I123" s="9"/>
      <c r="L123" s="9"/>
      <c r="O123" s="9"/>
      <c r="R123" s="9"/>
      <c r="S123"/>
      <c r="T123"/>
      <c r="U123"/>
      <c r="V123"/>
      <c r="W123"/>
      <c r="X123"/>
      <c r="Y123"/>
      <c r="Z123"/>
      <c r="AA123"/>
      <c r="AB123"/>
      <c r="AC123"/>
      <c r="AD123"/>
      <c r="AE123"/>
      <c r="AF123"/>
      <c r="AG123"/>
      <c r="AH123"/>
      <c r="AI123"/>
      <c r="AJ123" s="9"/>
      <c r="AK123"/>
      <c r="AL123"/>
      <c r="AM123"/>
      <c r="AN123" s="9"/>
      <c r="AO123"/>
      <c r="AP123"/>
      <c r="AQ123"/>
      <c r="AR123"/>
      <c r="AS123"/>
      <c r="AT123"/>
      <c r="AU123"/>
    </row>
    <row r="124" spans="9:47" x14ac:dyDescent="0.2">
      <c r="I124" s="9"/>
      <c r="L124" s="9"/>
      <c r="O124" s="9"/>
      <c r="R124" s="9"/>
      <c r="S124"/>
      <c r="T124"/>
      <c r="U124"/>
      <c r="V124"/>
      <c r="W124"/>
      <c r="X124"/>
      <c r="Y124"/>
      <c r="Z124"/>
      <c r="AA124"/>
      <c r="AB124"/>
      <c r="AC124"/>
      <c r="AD124"/>
      <c r="AE124"/>
      <c r="AF124"/>
      <c r="AG124"/>
      <c r="AH124"/>
      <c r="AI124"/>
      <c r="AJ124" s="9"/>
      <c r="AK124"/>
      <c r="AL124"/>
      <c r="AM124"/>
      <c r="AN124" s="9"/>
      <c r="AO124"/>
      <c r="AP124"/>
      <c r="AQ124"/>
      <c r="AR124"/>
      <c r="AS124"/>
      <c r="AT124"/>
      <c r="AU124"/>
    </row>
    <row r="125" spans="9:47" x14ac:dyDescent="0.2">
      <c r="I125" s="9"/>
      <c r="L125" s="9"/>
      <c r="O125" s="9"/>
      <c r="R125" s="9"/>
      <c r="S125"/>
      <c r="T125"/>
      <c r="U125"/>
      <c r="V125"/>
      <c r="W125"/>
      <c r="X125"/>
      <c r="Y125"/>
      <c r="Z125"/>
      <c r="AA125"/>
      <c r="AB125"/>
      <c r="AC125"/>
      <c r="AD125"/>
      <c r="AE125"/>
      <c r="AF125"/>
      <c r="AG125"/>
      <c r="AH125"/>
      <c r="AI125"/>
      <c r="AJ125" s="9"/>
      <c r="AK125"/>
      <c r="AL125"/>
      <c r="AM125"/>
      <c r="AN125" s="9"/>
      <c r="AO125"/>
      <c r="AP125"/>
      <c r="AQ125"/>
      <c r="AR125"/>
      <c r="AS125"/>
      <c r="AT125"/>
      <c r="AU125"/>
    </row>
    <row r="126" spans="9:47" x14ac:dyDescent="0.2">
      <c r="I126" s="9"/>
      <c r="L126" s="9"/>
      <c r="O126" s="9"/>
      <c r="R126" s="9"/>
      <c r="S126"/>
      <c r="T126"/>
      <c r="U126"/>
      <c r="V126"/>
      <c r="W126"/>
      <c r="X126"/>
      <c r="Y126"/>
      <c r="Z126"/>
      <c r="AA126"/>
      <c r="AB126"/>
      <c r="AC126"/>
      <c r="AD126"/>
      <c r="AE126"/>
      <c r="AF126"/>
      <c r="AG126"/>
      <c r="AH126"/>
      <c r="AI126"/>
      <c r="AJ126" s="9"/>
      <c r="AK126"/>
      <c r="AL126"/>
      <c r="AM126"/>
      <c r="AN126" s="9"/>
      <c r="AO126"/>
      <c r="AP126"/>
      <c r="AQ126"/>
      <c r="AR126"/>
      <c r="AS126"/>
      <c r="AT126"/>
      <c r="AU126"/>
    </row>
    <row r="127" spans="9:47" x14ac:dyDescent="0.2">
      <c r="I127" s="9"/>
      <c r="L127" s="9"/>
      <c r="O127" s="9"/>
      <c r="R127" s="9"/>
      <c r="S127"/>
      <c r="T127"/>
      <c r="U127"/>
      <c r="V127"/>
      <c r="W127"/>
      <c r="X127"/>
      <c r="Y127"/>
      <c r="Z127"/>
      <c r="AA127"/>
      <c r="AB127"/>
      <c r="AC127"/>
      <c r="AD127"/>
      <c r="AE127"/>
      <c r="AF127"/>
      <c r="AG127"/>
      <c r="AH127"/>
      <c r="AI127"/>
      <c r="AJ127" s="9"/>
      <c r="AK127"/>
      <c r="AL127"/>
      <c r="AM127"/>
      <c r="AN127" s="9"/>
      <c r="AO127"/>
      <c r="AP127"/>
      <c r="AQ127"/>
      <c r="AR127"/>
      <c r="AS127"/>
      <c r="AT127"/>
      <c r="AU127"/>
    </row>
    <row r="128" spans="9:47" x14ac:dyDescent="0.2">
      <c r="I128" s="9"/>
      <c r="L128" s="9"/>
      <c r="O128" s="9"/>
      <c r="R128" s="9"/>
      <c r="S128"/>
      <c r="T128"/>
      <c r="U128"/>
      <c r="V128"/>
      <c r="W128"/>
      <c r="X128"/>
      <c r="Y128"/>
      <c r="Z128"/>
      <c r="AA128"/>
      <c r="AB128"/>
      <c r="AC128"/>
      <c r="AD128"/>
      <c r="AE128"/>
      <c r="AF128"/>
      <c r="AG128"/>
      <c r="AH128"/>
      <c r="AI128"/>
      <c r="AJ128" s="9"/>
      <c r="AK128"/>
      <c r="AL128"/>
      <c r="AM128"/>
      <c r="AN128" s="9"/>
      <c r="AO128"/>
      <c r="AP128"/>
      <c r="AQ128"/>
      <c r="AR128"/>
      <c r="AS128"/>
      <c r="AT128"/>
      <c r="AU128"/>
    </row>
    <row r="129" spans="9:47" x14ac:dyDescent="0.2">
      <c r="I129" s="9"/>
      <c r="L129" s="9"/>
      <c r="O129" s="9"/>
      <c r="R129" s="9"/>
      <c r="S129"/>
      <c r="T129"/>
      <c r="U129"/>
      <c r="V129"/>
      <c r="W129"/>
      <c r="X129"/>
      <c r="Y129"/>
      <c r="Z129"/>
      <c r="AA129"/>
      <c r="AB129"/>
      <c r="AC129"/>
      <c r="AD129"/>
      <c r="AE129"/>
      <c r="AF129"/>
      <c r="AG129"/>
      <c r="AH129"/>
      <c r="AI129"/>
      <c r="AJ129" s="9"/>
      <c r="AK129"/>
      <c r="AL129"/>
      <c r="AM129"/>
      <c r="AN129" s="9"/>
      <c r="AO129"/>
      <c r="AP129"/>
      <c r="AQ129"/>
      <c r="AR129"/>
      <c r="AS129"/>
      <c r="AT129"/>
      <c r="AU129"/>
    </row>
    <row r="130" spans="9:47" x14ac:dyDescent="0.2">
      <c r="I130" s="9"/>
      <c r="L130" s="9"/>
      <c r="O130" s="9"/>
      <c r="R130" s="9"/>
      <c r="S130"/>
      <c r="T130"/>
      <c r="U130"/>
      <c r="V130"/>
      <c r="W130"/>
      <c r="X130"/>
      <c r="Y130"/>
      <c r="Z130"/>
      <c r="AA130"/>
      <c r="AB130"/>
      <c r="AC130"/>
      <c r="AD130"/>
      <c r="AE130"/>
      <c r="AF130"/>
      <c r="AG130"/>
      <c r="AH130"/>
      <c r="AI130"/>
      <c r="AJ130" s="9"/>
      <c r="AK130"/>
      <c r="AL130"/>
      <c r="AM130"/>
      <c r="AN130" s="9"/>
      <c r="AO130"/>
      <c r="AP130"/>
      <c r="AQ130"/>
      <c r="AR130"/>
      <c r="AS130"/>
      <c r="AT130"/>
      <c r="AU130"/>
    </row>
    <row r="131" spans="9:47" x14ac:dyDescent="0.2">
      <c r="I131" s="9"/>
      <c r="L131" s="9"/>
      <c r="O131" s="9"/>
      <c r="R131" s="9"/>
      <c r="S131"/>
      <c r="T131"/>
      <c r="U131"/>
      <c r="V131"/>
      <c r="W131"/>
      <c r="X131"/>
      <c r="Y131"/>
      <c r="Z131"/>
      <c r="AA131"/>
      <c r="AB131"/>
      <c r="AC131"/>
      <c r="AD131"/>
      <c r="AE131"/>
      <c r="AF131"/>
      <c r="AG131"/>
      <c r="AH131"/>
      <c r="AI131"/>
      <c r="AJ131" s="9"/>
      <c r="AK131"/>
      <c r="AL131"/>
      <c r="AM131"/>
      <c r="AN131" s="9"/>
      <c r="AO131"/>
      <c r="AP131"/>
      <c r="AQ131"/>
      <c r="AR131"/>
      <c r="AS131"/>
      <c r="AT131"/>
      <c r="AU131"/>
    </row>
    <row r="132" spans="9:47" x14ac:dyDescent="0.2">
      <c r="I132" s="9"/>
      <c r="L132" s="9"/>
      <c r="O132" s="9"/>
      <c r="R132" s="9"/>
      <c r="S132"/>
      <c r="T132"/>
      <c r="U132"/>
      <c r="V132"/>
      <c r="W132"/>
      <c r="X132"/>
      <c r="Y132"/>
      <c r="Z132"/>
      <c r="AA132"/>
      <c r="AB132"/>
      <c r="AC132"/>
      <c r="AD132"/>
      <c r="AE132"/>
      <c r="AF132"/>
      <c r="AG132"/>
      <c r="AH132"/>
      <c r="AI132"/>
      <c r="AJ132" s="9"/>
      <c r="AK132"/>
      <c r="AL132"/>
      <c r="AM132"/>
      <c r="AN132" s="9"/>
      <c r="AO132"/>
      <c r="AP132"/>
      <c r="AQ132"/>
      <c r="AR132"/>
      <c r="AS132"/>
      <c r="AT132"/>
      <c r="AU132"/>
    </row>
    <row r="133" spans="9:47" x14ac:dyDescent="0.2">
      <c r="I133" s="9"/>
      <c r="L133" s="9"/>
      <c r="O133" s="9"/>
      <c r="R133" s="9"/>
      <c r="S133"/>
      <c r="T133"/>
      <c r="U133"/>
      <c r="V133"/>
      <c r="W133"/>
      <c r="X133"/>
      <c r="Y133"/>
      <c r="Z133"/>
      <c r="AA133"/>
      <c r="AB133"/>
      <c r="AC133"/>
      <c r="AD133"/>
      <c r="AE133"/>
      <c r="AF133"/>
      <c r="AG133"/>
      <c r="AH133"/>
      <c r="AI133"/>
      <c r="AJ133" s="9"/>
      <c r="AK133"/>
      <c r="AL133"/>
      <c r="AM133"/>
      <c r="AN133" s="9"/>
      <c r="AO133"/>
      <c r="AP133"/>
      <c r="AQ133"/>
      <c r="AR133"/>
      <c r="AS133"/>
      <c r="AT133"/>
      <c r="AU133"/>
    </row>
    <row r="134" spans="9:47" x14ac:dyDescent="0.2">
      <c r="I134" s="9"/>
      <c r="L134" s="9"/>
      <c r="O134" s="9"/>
      <c r="R134" s="9"/>
      <c r="S134"/>
      <c r="T134"/>
      <c r="U134"/>
      <c r="V134"/>
      <c r="W134"/>
      <c r="X134"/>
      <c r="Y134"/>
      <c r="Z134"/>
      <c r="AA134"/>
      <c r="AB134"/>
      <c r="AC134"/>
      <c r="AD134"/>
      <c r="AE134"/>
      <c r="AF134"/>
      <c r="AG134"/>
      <c r="AH134"/>
      <c r="AI134"/>
      <c r="AJ134" s="9"/>
      <c r="AK134"/>
      <c r="AL134"/>
      <c r="AM134"/>
      <c r="AN134" s="9"/>
      <c r="AO134"/>
      <c r="AP134"/>
      <c r="AQ134"/>
      <c r="AR134"/>
      <c r="AS134"/>
      <c r="AT134"/>
      <c r="AU134"/>
    </row>
    <row r="135" spans="9:47" x14ac:dyDescent="0.2">
      <c r="I135" s="9"/>
      <c r="L135" s="9"/>
      <c r="O135" s="9"/>
      <c r="R135" s="9"/>
      <c r="S135"/>
      <c r="T135"/>
      <c r="U135"/>
      <c r="V135"/>
      <c r="W135"/>
      <c r="X135"/>
      <c r="Y135"/>
      <c r="Z135"/>
      <c r="AA135"/>
      <c r="AB135"/>
      <c r="AC135"/>
      <c r="AD135"/>
      <c r="AE135"/>
      <c r="AF135"/>
      <c r="AG135"/>
      <c r="AH135"/>
      <c r="AI135"/>
      <c r="AJ135" s="9"/>
      <c r="AK135"/>
      <c r="AL135"/>
      <c r="AM135"/>
      <c r="AN135" s="9"/>
      <c r="AO135"/>
      <c r="AP135"/>
      <c r="AQ135"/>
      <c r="AR135"/>
      <c r="AS135"/>
      <c r="AT135"/>
      <c r="AU135"/>
    </row>
    <row r="136" spans="9:47" x14ac:dyDescent="0.2">
      <c r="I136" s="9"/>
      <c r="L136" s="9"/>
      <c r="O136" s="9"/>
      <c r="R136" s="9"/>
      <c r="S136"/>
      <c r="T136"/>
      <c r="U136"/>
      <c r="V136"/>
      <c r="W136"/>
      <c r="X136"/>
      <c r="Y136"/>
      <c r="Z136"/>
      <c r="AA136"/>
      <c r="AB136"/>
      <c r="AC136"/>
      <c r="AD136"/>
      <c r="AE136"/>
      <c r="AF136"/>
      <c r="AG136"/>
      <c r="AH136"/>
      <c r="AI136"/>
      <c r="AJ136" s="9"/>
      <c r="AK136"/>
      <c r="AL136"/>
      <c r="AM136"/>
      <c r="AN136" s="9"/>
      <c r="AO136"/>
      <c r="AP136"/>
      <c r="AQ136"/>
      <c r="AR136"/>
      <c r="AS136"/>
      <c r="AT136"/>
      <c r="AU136"/>
    </row>
    <row r="137" spans="9:47" x14ac:dyDescent="0.2">
      <c r="I137" s="9"/>
      <c r="L137" s="9"/>
      <c r="O137" s="9"/>
      <c r="R137" s="9"/>
      <c r="S137"/>
      <c r="T137"/>
      <c r="U137"/>
      <c r="V137"/>
      <c r="W137"/>
      <c r="X137"/>
      <c r="Y137"/>
      <c r="Z137"/>
      <c r="AA137"/>
      <c r="AB137"/>
      <c r="AC137"/>
      <c r="AD137"/>
      <c r="AE137"/>
      <c r="AF137"/>
      <c r="AG137"/>
      <c r="AH137"/>
      <c r="AI137"/>
      <c r="AJ137" s="9"/>
      <c r="AK137"/>
      <c r="AL137"/>
      <c r="AM137"/>
      <c r="AN137" s="9"/>
      <c r="AO137"/>
      <c r="AP137"/>
      <c r="AQ137"/>
      <c r="AR137"/>
      <c r="AS137"/>
      <c r="AT137"/>
      <c r="AU137"/>
    </row>
    <row r="138" spans="9:47" x14ac:dyDescent="0.2">
      <c r="I138" s="9"/>
      <c r="L138" s="9"/>
      <c r="O138" s="9"/>
      <c r="R138" s="9"/>
      <c r="S138"/>
      <c r="T138"/>
      <c r="U138"/>
      <c r="V138"/>
      <c r="W138"/>
      <c r="X138"/>
      <c r="Y138"/>
      <c r="Z138"/>
      <c r="AA138"/>
      <c r="AB138"/>
      <c r="AC138"/>
      <c r="AD138"/>
      <c r="AE138"/>
      <c r="AF138"/>
      <c r="AG138"/>
      <c r="AH138"/>
      <c r="AI138"/>
      <c r="AJ138" s="9"/>
      <c r="AK138"/>
      <c r="AL138"/>
      <c r="AM138"/>
      <c r="AN138" s="9"/>
      <c r="AO138"/>
      <c r="AP138"/>
      <c r="AQ138"/>
      <c r="AR138"/>
      <c r="AS138"/>
      <c r="AT138"/>
      <c r="AU138"/>
    </row>
    <row r="139" spans="9:47" x14ac:dyDescent="0.2">
      <c r="I139" s="9"/>
      <c r="L139" s="9"/>
      <c r="O139" s="9"/>
      <c r="R139" s="9"/>
      <c r="S139"/>
      <c r="T139"/>
      <c r="U139"/>
      <c r="V139"/>
      <c r="W139"/>
      <c r="X139"/>
      <c r="Y139"/>
      <c r="Z139"/>
      <c r="AA139"/>
      <c r="AB139"/>
      <c r="AC139"/>
      <c r="AD139"/>
      <c r="AE139"/>
      <c r="AF139"/>
      <c r="AG139"/>
      <c r="AH139"/>
      <c r="AI139"/>
      <c r="AJ139" s="9"/>
      <c r="AK139"/>
      <c r="AL139"/>
      <c r="AM139"/>
      <c r="AN139" s="9"/>
      <c r="AO139"/>
      <c r="AP139"/>
      <c r="AQ139"/>
      <c r="AR139"/>
      <c r="AS139"/>
      <c r="AT139"/>
      <c r="AU139"/>
    </row>
    <row r="140" spans="9:47" x14ac:dyDescent="0.2">
      <c r="I140" s="9"/>
      <c r="L140" s="9"/>
      <c r="O140" s="9"/>
      <c r="R140" s="9"/>
      <c r="S140"/>
      <c r="T140"/>
      <c r="U140"/>
      <c r="V140"/>
      <c r="W140"/>
      <c r="X140"/>
      <c r="Y140"/>
      <c r="Z140"/>
      <c r="AA140"/>
      <c r="AB140"/>
      <c r="AC140"/>
      <c r="AD140"/>
      <c r="AE140"/>
      <c r="AF140"/>
      <c r="AG140"/>
      <c r="AH140"/>
      <c r="AI140"/>
      <c r="AJ140" s="9"/>
      <c r="AK140"/>
      <c r="AL140"/>
      <c r="AM140"/>
      <c r="AN140" s="9"/>
      <c r="AO140"/>
      <c r="AP140"/>
      <c r="AQ140"/>
      <c r="AR140"/>
      <c r="AS140"/>
      <c r="AT140"/>
      <c r="AU140"/>
    </row>
    <row r="141" spans="9:47" x14ac:dyDescent="0.2">
      <c r="I141" s="9"/>
      <c r="L141" s="9"/>
      <c r="O141" s="9"/>
      <c r="R141" s="9"/>
      <c r="S141"/>
      <c r="T141"/>
      <c r="U141"/>
      <c r="V141"/>
      <c r="W141"/>
      <c r="X141"/>
      <c r="Y141"/>
      <c r="Z141"/>
      <c r="AA141"/>
      <c r="AB141"/>
      <c r="AC141"/>
      <c r="AD141"/>
      <c r="AE141"/>
      <c r="AF141"/>
      <c r="AG141"/>
      <c r="AH141"/>
      <c r="AI141"/>
      <c r="AJ141" s="9"/>
      <c r="AK141"/>
      <c r="AL141"/>
      <c r="AM141"/>
      <c r="AN141" s="9"/>
      <c r="AO141"/>
      <c r="AP141"/>
      <c r="AQ141"/>
      <c r="AR141"/>
      <c r="AS141"/>
      <c r="AT141"/>
      <c r="AU141"/>
    </row>
    <row r="142" spans="9:47" x14ac:dyDescent="0.2">
      <c r="I142" s="9"/>
      <c r="L142" s="9"/>
      <c r="O142" s="9"/>
      <c r="R142" s="9"/>
      <c r="S142"/>
      <c r="T142"/>
      <c r="U142"/>
      <c r="V142"/>
      <c r="W142"/>
      <c r="X142"/>
      <c r="Y142"/>
      <c r="Z142"/>
      <c r="AA142"/>
      <c r="AB142"/>
      <c r="AC142"/>
      <c r="AD142"/>
      <c r="AE142"/>
      <c r="AF142"/>
      <c r="AG142"/>
      <c r="AH142"/>
      <c r="AI142"/>
      <c r="AJ142" s="9"/>
      <c r="AK142"/>
      <c r="AL142"/>
      <c r="AM142"/>
      <c r="AN142" s="9"/>
    </row>
    <row r="143" spans="9:47" x14ac:dyDescent="0.2">
      <c r="I143" s="9"/>
      <c r="L143" s="9"/>
      <c r="O143" s="9"/>
      <c r="R143" s="9"/>
      <c r="S143"/>
      <c r="T143"/>
      <c r="U143"/>
      <c r="V143"/>
      <c r="W143"/>
      <c r="X143"/>
      <c r="Y143"/>
      <c r="Z143"/>
      <c r="AA143"/>
      <c r="AB143"/>
      <c r="AC143"/>
      <c r="AD143"/>
      <c r="AE143"/>
      <c r="AF143"/>
      <c r="AG143"/>
      <c r="AH143"/>
      <c r="AI143"/>
      <c r="AJ143" s="9"/>
      <c r="AK143"/>
      <c r="AL143"/>
      <c r="AM143"/>
      <c r="AN143" s="9"/>
    </row>
    <row r="144" spans="9:47" x14ac:dyDescent="0.2">
      <c r="I144" s="9"/>
      <c r="L144" s="9"/>
      <c r="O144" s="9"/>
      <c r="R144" s="9"/>
      <c r="S144"/>
      <c r="T144"/>
      <c r="U144"/>
      <c r="V144"/>
      <c r="W144"/>
      <c r="X144"/>
      <c r="Y144"/>
      <c r="Z144"/>
      <c r="AA144"/>
      <c r="AB144"/>
      <c r="AC144"/>
      <c r="AD144"/>
      <c r="AE144"/>
      <c r="AF144"/>
      <c r="AG144"/>
      <c r="AH144"/>
      <c r="AI144"/>
      <c r="AJ144" s="9"/>
      <c r="AK144"/>
      <c r="AL144"/>
      <c r="AM144"/>
      <c r="AN144" s="9"/>
    </row>
    <row r="145" spans="9:40" x14ac:dyDescent="0.2">
      <c r="I145" s="9"/>
      <c r="L145" s="9"/>
      <c r="O145" s="9"/>
      <c r="R145" s="9"/>
      <c r="S145"/>
      <c r="T145"/>
      <c r="U145"/>
      <c r="V145"/>
      <c r="W145"/>
      <c r="X145"/>
      <c r="Y145"/>
      <c r="Z145"/>
      <c r="AA145"/>
      <c r="AB145"/>
      <c r="AC145"/>
      <c r="AD145"/>
      <c r="AE145"/>
      <c r="AF145"/>
      <c r="AG145"/>
      <c r="AH145"/>
      <c r="AI145"/>
      <c r="AJ145" s="9"/>
      <c r="AK145"/>
      <c r="AL145"/>
      <c r="AM145"/>
      <c r="AN145" s="9"/>
    </row>
    <row r="146" spans="9:40" x14ac:dyDescent="0.2">
      <c r="I146" s="9"/>
      <c r="L146" s="9"/>
      <c r="O146" s="9"/>
      <c r="R146" s="9"/>
      <c r="S146"/>
      <c r="T146"/>
      <c r="U146"/>
      <c r="V146"/>
      <c r="W146"/>
      <c r="X146"/>
      <c r="Y146"/>
      <c r="Z146"/>
      <c r="AA146"/>
      <c r="AB146"/>
      <c r="AC146"/>
      <c r="AD146"/>
      <c r="AE146"/>
      <c r="AF146"/>
      <c r="AG146"/>
      <c r="AH146"/>
      <c r="AI146"/>
      <c r="AJ146" s="9"/>
      <c r="AK146"/>
      <c r="AL146"/>
      <c r="AM146"/>
      <c r="AN146" s="9"/>
    </row>
    <row r="147" spans="9:40" x14ac:dyDescent="0.2">
      <c r="I147" s="9"/>
      <c r="L147" s="9"/>
      <c r="O147" s="9"/>
      <c r="R147" s="9"/>
      <c r="S147"/>
      <c r="T147"/>
      <c r="U147"/>
      <c r="V147"/>
      <c r="W147"/>
      <c r="X147"/>
      <c r="Y147"/>
      <c r="Z147"/>
      <c r="AA147"/>
      <c r="AB147"/>
      <c r="AC147"/>
      <c r="AD147"/>
      <c r="AE147"/>
      <c r="AF147"/>
      <c r="AG147"/>
      <c r="AH147"/>
      <c r="AI147"/>
      <c r="AJ147" s="9"/>
      <c r="AK147"/>
      <c r="AL147"/>
      <c r="AM147"/>
      <c r="AN147" s="9"/>
    </row>
    <row r="148" spans="9:40" x14ac:dyDescent="0.2">
      <c r="I148" s="9"/>
      <c r="L148" s="9"/>
      <c r="O148" s="9"/>
      <c r="R148" s="9"/>
      <c r="S148"/>
      <c r="T148"/>
      <c r="U148"/>
      <c r="V148"/>
      <c r="W148"/>
      <c r="X148"/>
      <c r="Y148"/>
      <c r="Z148"/>
      <c r="AA148"/>
      <c r="AB148"/>
      <c r="AC148"/>
      <c r="AD148"/>
      <c r="AE148"/>
      <c r="AF148"/>
      <c r="AG148"/>
      <c r="AH148"/>
      <c r="AI148"/>
      <c r="AJ148" s="9"/>
      <c r="AK148"/>
      <c r="AL148"/>
      <c r="AM148"/>
      <c r="AN148" s="9"/>
    </row>
    <row r="149" spans="9:40" x14ac:dyDescent="0.2">
      <c r="I149" s="9"/>
      <c r="L149" s="9"/>
      <c r="O149" s="9"/>
      <c r="R149" s="9"/>
      <c r="S149"/>
      <c r="T149"/>
      <c r="U149"/>
      <c r="V149"/>
      <c r="W149"/>
      <c r="X149"/>
      <c r="Y149"/>
      <c r="Z149"/>
      <c r="AA149"/>
      <c r="AB149"/>
      <c r="AC149"/>
      <c r="AD149"/>
      <c r="AE149"/>
      <c r="AF149"/>
      <c r="AG149"/>
      <c r="AH149"/>
      <c r="AI149"/>
      <c r="AJ149" s="9"/>
      <c r="AK149"/>
      <c r="AL149"/>
      <c r="AM149"/>
      <c r="AN149" s="9"/>
    </row>
    <row r="150" spans="9:40" x14ac:dyDescent="0.2">
      <c r="I150" s="9"/>
      <c r="L150" s="9"/>
      <c r="O150" s="9"/>
      <c r="R150" s="9"/>
      <c r="S150"/>
      <c r="T150"/>
      <c r="U150"/>
      <c r="V150"/>
      <c r="W150"/>
      <c r="X150"/>
      <c r="Y150"/>
      <c r="Z150"/>
      <c r="AA150"/>
      <c r="AB150"/>
      <c r="AC150"/>
      <c r="AD150"/>
      <c r="AE150"/>
      <c r="AF150"/>
      <c r="AG150"/>
      <c r="AH150"/>
      <c r="AI150"/>
      <c r="AJ150" s="9"/>
      <c r="AK150"/>
      <c r="AL150"/>
      <c r="AM150"/>
      <c r="AN150" s="9"/>
    </row>
    <row r="151" spans="9:40" x14ac:dyDescent="0.2">
      <c r="I151" s="9"/>
      <c r="L151" s="9"/>
      <c r="O151" s="9"/>
      <c r="R151" s="9"/>
      <c r="S151"/>
      <c r="T151"/>
      <c r="U151"/>
      <c r="V151"/>
      <c r="W151"/>
      <c r="X151"/>
      <c r="Y151"/>
      <c r="Z151"/>
      <c r="AA151"/>
      <c r="AB151"/>
      <c r="AC151"/>
      <c r="AD151"/>
      <c r="AE151"/>
      <c r="AF151"/>
      <c r="AG151"/>
      <c r="AH151"/>
      <c r="AI151"/>
      <c r="AJ151" s="9"/>
      <c r="AK151"/>
      <c r="AL151"/>
      <c r="AM151"/>
      <c r="AN151" s="9"/>
    </row>
    <row r="152" spans="9:40" x14ac:dyDescent="0.2">
      <c r="I152" s="9"/>
      <c r="L152" s="9"/>
      <c r="O152" s="9"/>
      <c r="R152" s="9"/>
      <c r="S152"/>
      <c r="T152"/>
      <c r="U152"/>
      <c r="V152"/>
      <c r="W152"/>
      <c r="X152"/>
      <c r="Y152"/>
      <c r="Z152"/>
      <c r="AA152"/>
      <c r="AB152"/>
      <c r="AC152"/>
      <c r="AD152"/>
      <c r="AE152"/>
      <c r="AF152"/>
      <c r="AG152"/>
      <c r="AH152"/>
      <c r="AI152"/>
      <c r="AJ152" s="9"/>
      <c r="AK152"/>
      <c r="AL152"/>
      <c r="AM152"/>
      <c r="AN152" s="9"/>
    </row>
    <row r="153" spans="9:40" x14ac:dyDescent="0.2">
      <c r="I153" s="9"/>
      <c r="L153" s="9"/>
      <c r="O153" s="9"/>
      <c r="R153" s="9"/>
      <c r="S153"/>
      <c r="T153"/>
      <c r="U153"/>
      <c r="V153"/>
      <c r="W153"/>
      <c r="X153"/>
      <c r="Y153"/>
      <c r="Z153"/>
      <c r="AA153"/>
      <c r="AB153"/>
      <c r="AC153"/>
      <c r="AD153"/>
      <c r="AE153"/>
      <c r="AF153"/>
      <c r="AG153"/>
      <c r="AH153"/>
      <c r="AI153"/>
      <c r="AJ153" s="9"/>
      <c r="AK153"/>
      <c r="AL153"/>
      <c r="AM153"/>
      <c r="AN153" s="9"/>
    </row>
    <row r="154" spans="9:40" x14ac:dyDescent="0.2">
      <c r="I154" s="9"/>
      <c r="L154" s="9"/>
      <c r="O154" s="9"/>
      <c r="R154" s="9"/>
      <c r="S154"/>
      <c r="T154"/>
      <c r="U154"/>
      <c r="V154"/>
      <c r="W154"/>
      <c r="X154"/>
      <c r="Y154"/>
      <c r="Z154"/>
      <c r="AA154"/>
      <c r="AB154"/>
      <c r="AC154"/>
      <c r="AD154"/>
      <c r="AE154"/>
      <c r="AF154"/>
      <c r="AG154"/>
      <c r="AH154"/>
      <c r="AI154"/>
      <c r="AJ154" s="9"/>
      <c r="AK154"/>
      <c r="AL154"/>
      <c r="AM154"/>
      <c r="AN154" s="9"/>
    </row>
    <row r="155" spans="9:40" x14ac:dyDescent="0.2">
      <c r="I155" s="9"/>
      <c r="L155" s="9"/>
      <c r="O155" s="9"/>
      <c r="R155" s="9"/>
      <c r="S155"/>
      <c r="T155"/>
      <c r="U155"/>
      <c r="V155"/>
      <c r="W155"/>
      <c r="X155"/>
      <c r="Y155"/>
      <c r="Z155"/>
      <c r="AA155"/>
      <c r="AB155"/>
      <c r="AC155"/>
      <c r="AD155"/>
      <c r="AE155"/>
      <c r="AF155"/>
      <c r="AG155"/>
      <c r="AH155"/>
      <c r="AI155"/>
      <c r="AJ155" s="9"/>
      <c r="AK155"/>
      <c r="AL155"/>
      <c r="AM155"/>
      <c r="AN155" s="9"/>
    </row>
    <row r="156" spans="9:40" x14ac:dyDescent="0.2">
      <c r="I156" s="9"/>
      <c r="L156" s="9"/>
      <c r="O156" s="9"/>
      <c r="R156" s="9"/>
      <c r="S156"/>
      <c r="T156"/>
      <c r="U156"/>
      <c r="V156"/>
      <c r="W156"/>
      <c r="X156"/>
      <c r="Y156"/>
      <c r="Z156"/>
      <c r="AA156"/>
      <c r="AB156"/>
      <c r="AC156"/>
      <c r="AD156"/>
      <c r="AE156"/>
      <c r="AF156"/>
      <c r="AG156"/>
      <c r="AH156"/>
      <c r="AI156"/>
      <c r="AJ156" s="9"/>
      <c r="AK156"/>
      <c r="AL156"/>
      <c r="AM156"/>
      <c r="AN156" s="9"/>
    </row>
    <row r="157" spans="9:40" x14ac:dyDescent="0.2">
      <c r="I157" s="9"/>
      <c r="L157" s="9"/>
      <c r="O157" s="9"/>
      <c r="R157" s="9"/>
      <c r="S157"/>
      <c r="T157"/>
      <c r="U157"/>
      <c r="V157"/>
      <c r="W157"/>
      <c r="X157"/>
      <c r="Y157"/>
      <c r="Z157"/>
      <c r="AA157"/>
      <c r="AB157"/>
      <c r="AC157"/>
      <c r="AD157"/>
      <c r="AE157"/>
      <c r="AF157"/>
      <c r="AG157"/>
      <c r="AH157"/>
      <c r="AI157"/>
      <c r="AJ157" s="9"/>
      <c r="AK157"/>
      <c r="AL157"/>
      <c r="AM157"/>
      <c r="AN157" s="9"/>
    </row>
    <row r="158" spans="9:40" x14ac:dyDescent="0.2">
      <c r="I158" s="9"/>
      <c r="L158" s="9"/>
      <c r="O158" s="9"/>
      <c r="R158" s="9"/>
      <c r="S158"/>
      <c r="T158"/>
      <c r="U158"/>
      <c r="V158"/>
      <c r="W158"/>
      <c r="X158"/>
      <c r="Y158"/>
      <c r="Z158"/>
      <c r="AA158"/>
      <c r="AB158"/>
      <c r="AC158"/>
      <c r="AD158"/>
      <c r="AE158"/>
      <c r="AF158"/>
      <c r="AG158"/>
      <c r="AH158"/>
      <c r="AI158"/>
      <c r="AJ158" s="9"/>
      <c r="AK158"/>
      <c r="AL158"/>
      <c r="AM158"/>
      <c r="AN158" s="9"/>
    </row>
    <row r="159" spans="9:40" x14ac:dyDescent="0.2">
      <c r="I159" s="9"/>
      <c r="L159" s="9"/>
      <c r="O159" s="9"/>
      <c r="R159" s="9"/>
      <c r="S159"/>
      <c r="T159"/>
      <c r="U159"/>
      <c r="V159"/>
      <c r="W159"/>
      <c r="X159"/>
      <c r="Y159"/>
      <c r="Z159"/>
      <c r="AA159"/>
      <c r="AB159"/>
      <c r="AC159"/>
      <c r="AD159"/>
      <c r="AE159"/>
      <c r="AF159"/>
      <c r="AG159"/>
      <c r="AH159"/>
      <c r="AI159"/>
      <c r="AJ159" s="9"/>
      <c r="AK159"/>
      <c r="AL159"/>
      <c r="AM159"/>
      <c r="AN159" s="9"/>
    </row>
    <row r="160" spans="9:40" x14ac:dyDescent="0.2">
      <c r="I160" s="9"/>
      <c r="L160" s="9"/>
      <c r="O160" s="9"/>
      <c r="R160" s="9"/>
      <c r="S160"/>
      <c r="T160"/>
      <c r="U160"/>
      <c r="V160"/>
      <c r="W160"/>
      <c r="X160"/>
      <c r="Y160"/>
      <c r="Z160"/>
      <c r="AA160"/>
      <c r="AB160"/>
      <c r="AC160"/>
      <c r="AD160"/>
      <c r="AE160"/>
      <c r="AF160"/>
      <c r="AG160"/>
      <c r="AH160"/>
      <c r="AI160"/>
      <c r="AJ160" s="9"/>
      <c r="AK160"/>
      <c r="AL160"/>
      <c r="AM160"/>
      <c r="AN160" s="9"/>
    </row>
    <row r="161" spans="9:40" x14ac:dyDescent="0.2">
      <c r="I161" s="9"/>
      <c r="L161" s="9"/>
      <c r="O161" s="9"/>
      <c r="R161" s="9"/>
      <c r="S161"/>
      <c r="T161"/>
      <c r="U161"/>
      <c r="V161"/>
      <c r="W161"/>
      <c r="X161"/>
      <c r="Y161"/>
      <c r="Z161"/>
      <c r="AA161"/>
      <c r="AB161"/>
      <c r="AC161"/>
      <c r="AD161"/>
      <c r="AE161"/>
      <c r="AF161"/>
      <c r="AG161"/>
      <c r="AH161"/>
      <c r="AI161"/>
      <c r="AJ161" s="9"/>
      <c r="AK161"/>
      <c r="AL161"/>
      <c r="AM161"/>
      <c r="AN161" s="9"/>
    </row>
    <row r="162" spans="9:40" x14ac:dyDescent="0.2">
      <c r="I162" s="9"/>
      <c r="L162" s="9"/>
      <c r="O162" s="9"/>
      <c r="R162" s="9"/>
      <c r="S162"/>
      <c r="T162"/>
      <c r="U162"/>
      <c r="V162"/>
      <c r="W162"/>
      <c r="X162"/>
      <c r="Y162"/>
      <c r="Z162"/>
      <c r="AA162"/>
      <c r="AB162"/>
      <c r="AC162"/>
      <c r="AD162"/>
      <c r="AE162"/>
      <c r="AF162"/>
      <c r="AG162"/>
      <c r="AH162"/>
      <c r="AI162"/>
      <c r="AJ162" s="9"/>
      <c r="AK162"/>
      <c r="AL162"/>
      <c r="AM162"/>
      <c r="AN162" s="9"/>
    </row>
    <row r="163" spans="9:40" x14ac:dyDescent="0.2">
      <c r="I163" s="9"/>
      <c r="L163" s="9"/>
      <c r="O163" s="9"/>
      <c r="R163" s="9"/>
      <c r="S163"/>
      <c r="T163"/>
      <c r="U163"/>
      <c r="V163"/>
      <c r="W163"/>
      <c r="X163"/>
      <c r="Y163"/>
      <c r="Z163"/>
      <c r="AA163"/>
      <c r="AB163"/>
      <c r="AC163"/>
      <c r="AD163"/>
      <c r="AE163"/>
      <c r="AF163"/>
      <c r="AG163"/>
      <c r="AH163"/>
      <c r="AI163"/>
      <c r="AJ163" s="9"/>
      <c r="AK163"/>
      <c r="AL163"/>
      <c r="AM163"/>
      <c r="AN163" s="9"/>
    </row>
    <row r="164" spans="9:40" x14ac:dyDescent="0.2">
      <c r="I164" s="9"/>
      <c r="L164" s="9"/>
      <c r="O164" s="9"/>
      <c r="R164" s="9"/>
      <c r="S164"/>
      <c r="T164"/>
      <c r="U164"/>
      <c r="V164"/>
      <c r="W164"/>
      <c r="X164"/>
      <c r="Y164"/>
      <c r="Z164"/>
      <c r="AA164"/>
      <c r="AB164"/>
      <c r="AC164"/>
      <c r="AD164"/>
      <c r="AE164"/>
      <c r="AF164"/>
      <c r="AG164"/>
      <c r="AH164"/>
      <c r="AI164"/>
      <c r="AJ164" s="9"/>
      <c r="AK164"/>
      <c r="AL164"/>
      <c r="AM164"/>
      <c r="AN164" s="9"/>
    </row>
    <row r="165" spans="9:40" x14ac:dyDescent="0.2">
      <c r="I165" s="9"/>
      <c r="L165" s="9"/>
      <c r="O165" s="9"/>
      <c r="R165" s="9"/>
      <c r="S165"/>
      <c r="T165"/>
      <c r="U165"/>
      <c r="V165"/>
      <c r="W165"/>
      <c r="X165"/>
      <c r="Y165"/>
      <c r="Z165"/>
      <c r="AA165"/>
      <c r="AB165"/>
      <c r="AC165"/>
      <c r="AD165"/>
      <c r="AE165"/>
      <c r="AF165"/>
      <c r="AG165"/>
      <c r="AH165"/>
      <c r="AI165"/>
      <c r="AJ165" s="9"/>
      <c r="AK165"/>
      <c r="AL165"/>
      <c r="AM165"/>
      <c r="AN165" s="9"/>
    </row>
    <row r="166" spans="9:40" x14ac:dyDescent="0.2">
      <c r="I166" s="9"/>
      <c r="L166" s="9"/>
      <c r="O166" s="9"/>
      <c r="R166" s="9"/>
      <c r="S166"/>
      <c r="T166"/>
      <c r="U166"/>
      <c r="V166"/>
      <c r="W166"/>
      <c r="X166"/>
      <c r="Y166"/>
      <c r="Z166"/>
      <c r="AA166"/>
      <c r="AB166"/>
      <c r="AC166"/>
      <c r="AD166"/>
      <c r="AE166"/>
      <c r="AF166"/>
      <c r="AG166"/>
      <c r="AH166"/>
      <c r="AI166"/>
      <c r="AJ166" s="9"/>
      <c r="AK166"/>
      <c r="AL166"/>
      <c r="AM166"/>
      <c r="AN166" s="9"/>
    </row>
    <row r="167" spans="9:40" x14ac:dyDescent="0.2">
      <c r="I167" s="9"/>
      <c r="L167" s="9"/>
      <c r="O167" s="9"/>
      <c r="R167" s="9"/>
      <c r="S167"/>
      <c r="T167"/>
      <c r="U167"/>
      <c r="V167"/>
      <c r="W167"/>
      <c r="X167"/>
      <c r="Y167"/>
      <c r="Z167"/>
      <c r="AA167"/>
      <c r="AB167"/>
      <c r="AC167"/>
      <c r="AD167"/>
      <c r="AE167"/>
      <c r="AF167"/>
      <c r="AG167"/>
      <c r="AH167"/>
      <c r="AI167"/>
      <c r="AJ167" s="9"/>
      <c r="AK167"/>
      <c r="AL167"/>
      <c r="AM167"/>
      <c r="AN167" s="9"/>
    </row>
    <row r="168" spans="9:40" x14ac:dyDescent="0.2">
      <c r="I168" s="9"/>
      <c r="L168" s="9"/>
      <c r="O168" s="9"/>
      <c r="R168" s="9"/>
      <c r="S168"/>
      <c r="T168"/>
      <c r="U168"/>
      <c r="V168"/>
      <c r="W168"/>
      <c r="X168"/>
      <c r="Y168"/>
      <c r="Z168"/>
      <c r="AA168"/>
      <c r="AB168"/>
      <c r="AC168"/>
      <c r="AD168"/>
      <c r="AE168"/>
      <c r="AF168"/>
      <c r="AG168"/>
      <c r="AH168"/>
      <c r="AI168"/>
      <c r="AJ168" s="9"/>
      <c r="AK168"/>
      <c r="AL168"/>
      <c r="AM168"/>
      <c r="AN168" s="9"/>
    </row>
    <row r="169" spans="9:40" x14ac:dyDescent="0.2">
      <c r="I169" s="9"/>
      <c r="L169" s="9"/>
      <c r="O169" s="9"/>
      <c r="R169" s="9"/>
      <c r="S169"/>
      <c r="T169"/>
      <c r="U169"/>
      <c r="V169"/>
      <c r="W169"/>
      <c r="X169"/>
      <c r="Y169"/>
      <c r="Z169"/>
      <c r="AA169"/>
      <c r="AB169"/>
      <c r="AC169"/>
      <c r="AD169"/>
      <c r="AE169"/>
      <c r="AF169"/>
      <c r="AG169"/>
      <c r="AH169"/>
      <c r="AI169"/>
      <c r="AJ169" s="9"/>
      <c r="AK169"/>
      <c r="AL169"/>
      <c r="AM169"/>
      <c r="AN169" s="9"/>
    </row>
    <row r="170" spans="9:40" x14ac:dyDescent="0.2">
      <c r="I170" s="9"/>
      <c r="L170" s="9"/>
      <c r="O170" s="9"/>
      <c r="R170" s="9"/>
      <c r="S170"/>
      <c r="T170"/>
      <c r="U170"/>
      <c r="V170"/>
      <c r="W170"/>
      <c r="X170"/>
      <c r="Y170"/>
      <c r="Z170"/>
      <c r="AA170"/>
      <c r="AB170"/>
      <c r="AC170"/>
      <c r="AD170"/>
      <c r="AE170"/>
      <c r="AF170"/>
      <c r="AG170"/>
      <c r="AH170"/>
      <c r="AI170"/>
      <c r="AJ170" s="9"/>
      <c r="AM170" s="9"/>
      <c r="AN170" s="9"/>
    </row>
    <row r="171" spans="9:40" x14ac:dyDescent="0.2">
      <c r="I171" s="9"/>
      <c r="L171" s="9"/>
      <c r="O171" s="9"/>
      <c r="R171" s="9"/>
      <c r="S171"/>
      <c r="T171"/>
      <c r="U171"/>
      <c r="V171"/>
      <c r="W171"/>
      <c r="X171"/>
      <c r="Y171"/>
      <c r="Z171"/>
      <c r="AA171"/>
      <c r="AB171"/>
      <c r="AC171"/>
      <c r="AD171"/>
      <c r="AE171"/>
      <c r="AF171"/>
      <c r="AG171"/>
      <c r="AH171"/>
      <c r="AI171"/>
      <c r="AJ171" s="9"/>
      <c r="AM171" s="9"/>
      <c r="AN171" s="9"/>
    </row>
    <row r="172" spans="9:40" x14ac:dyDescent="0.2">
      <c r="I172" s="9"/>
      <c r="L172" s="9"/>
      <c r="O172" s="9"/>
      <c r="R172" s="9"/>
      <c r="S172"/>
      <c r="T172"/>
      <c r="U172"/>
      <c r="V172"/>
      <c r="W172"/>
      <c r="X172"/>
      <c r="Y172"/>
      <c r="Z172"/>
      <c r="AA172"/>
      <c r="AB172"/>
      <c r="AC172"/>
      <c r="AD172"/>
      <c r="AE172"/>
      <c r="AF172"/>
      <c r="AG172"/>
      <c r="AH172"/>
      <c r="AI172"/>
      <c r="AJ172" s="9"/>
      <c r="AM172" s="9"/>
      <c r="AN172" s="9"/>
    </row>
    <row r="173" spans="9:40" x14ac:dyDescent="0.2">
      <c r="I173" s="9"/>
      <c r="L173" s="9"/>
      <c r="O173" s="9"/>
      <c r="R173" s="9"/>
      <c r="S173"/>
      <c r="T173"/>
      <c r="U173"/>
      <c r="V173"/>
      <c r="W173"/>
      <c r="X173"/>
      <c r="Y173"/>
      <c r="Z173"/>
      <c r="AA173"/>
      <c r="AB173"/>
      <c r="AC173"/>
      <c r="AD173"/>
      <c r="AE173"/>
      <c r="AF173"/>
      <c r="AG173"/>
      <c r="AH173"/>
      <c r="AI173"/>
      <c r="AJ173" s="9"/>
      <c r="AM173" s="9"/>
      <c r="AN173" s="9"/>
    </row>
    <row r="174" spans="9:40" x14ac:dyDescent="0.2">
      <c r="I174" s="9"/>
      <c r="L174" s="9"/>
      <c r="O174" s="9"/>
      <c r="R174" s="9"/>
      <c r="S174"/>
      <c r="T174"/>
      <c r="U174"/>
      <c r="V174"/>
      <c r="W174"/>
      <c r="X174"/>
      <c r="Y174"/>
      <c r="Z174"/>
      <c r="AA174"/>
      <c r="AB174"/>
      <c r="AC174"/>
      <c r="AD174"/>
      <c r="AE174"/>
      <c r="AF174"/>
      <c r="AG174"/>
      <c r="AH174"/>
      <c r="AI174"/>
      <c r="AJ174" s="9"/>
      <c r="AM174" s="9"/>
      <c r="AN174" s="9"/>
    </row>
    <row r="175" spans="9:40" x14ac:dyDescent="0.2">
      <c r="I175" s="9"/>
      <c r="L175" s="9"/>
      <c r="O175" s="9"/>
      <c r="R175" s="9"/>
      <c r="S175"/>
      <c r="T175"/>
      <c r="U175"/>
      <c r="V175"/>
      <c r="W175"/>
      <c r="X175"/>
      <c r="Y175"/>
      <c r="Z175"/>
      <c r="AA175"/>
      <c r="AB175"/>
      <c r="AC175"/>
      <c r="AD175"/>
      <c r="AE175"/>
      <c r="AF175"/>
      <c r="AG175"/>
      <c r="AH175"/>
      <c r="AI175"/>
      <c r="AJ175" s="9"/>
      <c r="AM175" s="9"/>
      <c r="AN175" s="9"/>
    </row>
    <row r="176" spans="9:40" x14ac:dyDescent="0.2">
      <c r="I176" s="9"/>
      <c r="L176" s="9"/>
      <c r="O176" s="9"/>
      <c r="R176" s="9"/>
      <c r="S176"/>
      <c r="T176"/>
      <c r="U176"/>
      <c r="V176"/>
      <c r="W176"/>
      <c r="X176"/>
      <c r="Y176"/>
      <c r="Z176"/>
      <c r="AA176"/>
      <c r="AB176"/>
      <c r="AC176"/>
      <c r="AD176"/>
      <c r="AE176"/>
      <c r="AF176"/>
      <c r="AG176"/>
      <c r="AH176"/>
      <c r="AI176"/>
      <c r="AJ176" s="9"/>
      <c r="AM176" s="9"/>
      <c r="AN176" s="9"/>
    </row>
    <row r="177" spans="9:40" x14ac:dyDescent="0.2">
      <c r="I177" s="9"/>
      <c r="L177" s="9"/>
      <c r="O177" s="9"/>
      <c r="R177" s="9"/>
      <c r="S177"/>
      <c r="T177"/>
      <c r="U177"/>
      <c r="V177"/>
      <c r="W177"/>
      <c r="X177"/>
      <c r="Y177"/>
      <c r="Z177"/>
      <c r="AA177"/>
      <c r="AB177"/>
      <c r="AC177"/>
      <c r="AD177"/>
      <c r="AE177"/>
      <c r="AF177"/>
      <c r="AG177"/>
      <c r="AH177"/>
      <c r="AI177"/>
      <c r="AJ177" s="9"/>
      <c r="AM177" s="9"/>
      <c r="AN177" s="9"/>
    </row>
    <row r="178" spans="9:40" x14ac:dyDescent="0.2">
      <c r="I178" s="9"/>
      <c r="L178" s="9"/>
      <c r="O178" s="9"/>
      <c r="R178" s="9"/>
      <c r="S178"/>
      <c r="T178"/>
      <c r="U178"/>
      <c r="V178"/>
      <c r="W178"/>
      <c r="X178"/>
      <c r="Y178"/>
      <c r="Z178"/>
      <c r="AA178"/>
      <c r="AB178"/>
      <c r="AC178"/>
      <c r="AD178"/>
      <c r="AE178"/>
      <c r="AF178"/>
      <c r="AG178"/>
      <c r="AH178"/>
      <c r="AI178"/>
      <c r="AJ178" s="9"/>
      <c r="AM178" s="9"/>
      <c r="AN178" s="9"/>
    </row>
    <row r="179" spans="9:40" x14ac:dyDescent="0.2">
      <c r="I179" s="9"/>
      <c r="L179" s="9"/>
      <c r="O179" s="9"/>
      <c r="R179" s="9"/>
      <c r="S179"/>
      <c r="T179"/>
      <c r="U179"/>
      <c r="V179"/>
      <c r="W179"/>
      <c r="X179"/>
      <c r="Y179"/>
      <c r="Z179"/>
      <c r="AA179"/>
      <c r="AB179"/>
      <c r="AC179"/>
      <c r="AD179"/>
      <c r="AE179"/>
      <c r="AF179"/>
      <c r="AG179"/>
      <c r="AH179"/>
      <c r="AI179"/>
      <c r="AJ179" s="9"/>
      <c r="AM179" s="9"/>
      <c r="AN179" s="9"/>
    </row>
    <row r="180" spans="9:40" x14ac:dyDescent="0.2">
      <c r="I180" s="9"/>
      <c r="L180" s="9"/>
      <c r="O180" s="9"/>
      <c r="R180" s="9"/>
      <c r="S180"/>
      <c r="T180"/>
      <c r="U180"/>
      <c r="V180"/>
      <c r="W180"/>
      <c r="X180"/>
      <c r="Y180"/>
      <c r="Z180"/>
      <c r="AA180"/>
      <c r="AB180"/>
      <c r="AC180"/>
      <c r="AD180"/>
      <c r="AE180"/>
      <c r="AF180"/>
      <c r="AG180"/>
      <c r="AH180"/>
      <c r="AI180"/>
      <c r="AJ180" s="9"/>
      <c r="AM180" s="9"/>
      <c r="AN180" s="9"/>
    </row>
    <row r="181" spans="9:40" x14ac:dyDescent="0.2">
      <c r="I181" s="9"/>
      <c r="L181" s="9"/>
      <c r="O181" s="9"/>
      <c r="R181" s="9"/>
      <c r="S181"/>
      <c r="T181"/>
      <c r="U181"/>
      <c r="V181"/>
      <c r="W181"/>
      <c r="X181"/>
      <c r="Y181"/>
      <c r="Z181"/>
      <c r="AA181"/>
      <c r="AB181"/>
      <c r="AC181"/>
      <c r="AD181"/>
      <c r="AE181"/>
      <c r="AF181"/>
      <c r="AG181"/>
      <c r="AH181"/>
      <c r="AI181"/>
      <c r="AJ181" s="9"/>
      <c r="AM181" s="9"/>
      <c r="AN181" s="9"/>
    </row>
    <row r="182" spans="9:40" x14ac:dyDescent="0.2">
      <c r="I182" s="9"/>
      <c r="L182" s="9"/>
      <c r="O182" s="9"/>
      <c r="R182" s="9"/>
      <c r="S182"/>
      <c r="T182"/>
      <c r="U182"/>
      <c r="V182"/>
      <c r="W182"/>
      <c r="X182"/>
      <c r="Y182"/>
      <c r="Z182"/>
      <c r="AA182"/>
      <c r="AB182"/>
      <c r="AC182"/>
      <c r="AD182"/>
      <c r="AE182"/>
      <c r="AF182"/>
      <c r="AG182"/>
      <c r="AH182"/>
      <c r="AI182"/>
      <c r="AJ182" s="9"/>
      <c r="AM182" s="9"/>
      <c r="AN182" s="9"/>
    </row>
    <row r="183" spans="9:40" x14ac:dyDescent="0.2">
      <c r="I183" s="9"/>
      <c r="L183" s="9"/>
      <c r="O183" s="9"/>
      <c r="R183" s="9"/>
      <c r="S183"/>
      <c r="T183"/>
      <c r="U183"/>
      <c r="V183"/>
      <c r="W183"/>
      <c r="X183"/>
      <c r="Y183"/>
      <c r="Z183"/>
      <c r="AA183"/>
      <c r="AB183"/>
      <c r="AC183"/>
      <c r="AD183"/>
      <c r="AE183"/>
      <c r="AF183"/>
      <c r="AG183"/>
      <c r="AH183"/>
      <c r="AI183"/>
      <c r="AJ183" s="9"/>
      <c r="AM183" s="9"/>
      <c r="AN183" s="9"/>
    </row>
    <row r="184" spans="9:40" x14ac:dyDescent="0.2">
      <c r="I184" s="9"/>
      <c r="L184" s="9"/>
      <c r="O184" s="9"/>
      <c r="R184" s="9"/>
      <c r="S184"/>
      <c r="T184"/>
      <c r="U184"/>
      <c r="V184"/>
      <c r="W184"/>
      <c r="X184"/>
      <c r="Y184"/>
      <c r="Z184"/>
      <c r="AA184"/>
      <c r="AB184"/>
      <c r="AC184"/>
      <c r="AD184"/>
      <c r="AE184"/>
      <c r="AF184"/>
      <c r="AG184"/>
      <c r="AH184"/>
      <c r="AI184"/>
      <c r="AJ184" s="9"/>
      <c r="AM184" s="9"/>
      <c r="AN184" s="9"/>
    </row>
    <row r="185" spans="9:40" x14ac:dyDescent="0.2">
      <c r="I185" s="9"/>
      <c r="L185" s="9"/>
      <c r="O185" s="9"/>
      <c r="R185" s="9"/>
      <c r="S185"/>
      <c r="T185"/>
      <c r="U185"/>
      <c r="V185"/>
      <c r="W185"/>
      <c r="X185"/>
      <c r="Y185"/>
      <c r="Z185"/>
      <c r="AA185"/>
      <c r="AB185"/>
      <c r="AC185"/>
      <c r="AD185"/>
      <c r="AE185"/>
      <c r="AF185"/>
      <c r="AG185"/>
      <c r="AH185"/>
      <c r="AI185"/>
      <c r="AJ185" s="9"/>
      <c r="AM185" s="9"/>
      <c r="AN185" s="9"/>
    </row>
    <row r="186" spans="9:40" x14ac:dyDescent="0.2">
      <c r="I186" s="9"/>
      <c r="L186" s="9"/>
      <c r="O186" s="9"/>
      <c r="R186" s="9"/>
      <c r="S186"/>
      <c r="T186"/>
      <c r="U186"/>
      <c r="V186"/>
      <c r="W186"/>
      <c r="X186"/>
      <c r="Y186"/>
      <c r="Z186"/>
      <c r="AA186"/>
      <c r="AB186"/>
      <c r="AC186"/>
      <c r="AD186"/>
      <c r="AE186"/>
      <c r="AF186"/>
      <c r="AG186"/>
      <c r="AH186"/>
      <c r="AI186"/>
      <c r="AJ186" s="9"/>
      <c r="AM186" s="9"/>
      <c r="AN186" s="9"/>
    </row>
    <row r="187" spans="9:40" x14ac:dyDescent="0.2">
      <c r="I187" s="9"/>
      <c r="L187" s="9"/>
      <c r="O187" s="9"/>
      <c r="R187" s="9"/>
      <c r="S187"/>
      <c r="T187"/>
      <c r="U187"/>
      <c r="V187"/>
      <c r="W187"/>
      <c r="X187"/>
      <c r="Y187"/>
      <c r="Z187"/>
      <c r="AA187"/>
      <c r="AB187"/>
      <c r="AC187"/>
      <c r="AD187"/>
      <c r="AE187"/>
      <c r="AF187"/>
      <c r="AG187"/>
      <c r="AH187"/>
      <c r="AI187"/>
      <c r="AJ187" s="9"/>
      <c r="AM187" s="9"/>
      <c r="AN187" s="9"/>
    </row>
    <row r="188" spans="9:40" x14ac:dyDescent="0.2">
      <c r="I188" s="9"/>
      <c r="L188" s="9"/>
      <c r="O188" s="9"/>
      <c r="R188" s="9"/>
      <c r="S188"/>
      <c r="T188"/>
      <c r="U188"/>
      <c r="V188"/>
      <c r="W188"/>
      <c r="X188"/>
      <c r="Y188"/>
      <c r="Z188"/>
      <c r="AA188"/>
      <c r="AB188"/>
      <c r="AC188"/>
      <c r="AD188"/>
      <c r="AE188"/>
      <c r="AF188"/>
      <c r="AG188"/>
      <c r="AH188"/>
      <c r="AI188"/>
      <c r="AJ188" s="9"/>
      <c r="AM188" s="9"/>
      <c r="AN188" s="9"/>
    </row>
    <row r="189" spans="9:40" x14ac:dyDescent="0.2">
      <c r="I189" s="9"/>
      <c r="L189" s="9"/>
      <c r="O189" s="9"/>
      <c r="R189" s="9"/>
      <c r="S189"/>
      <c r="T189"/>
      <c r="U189"/>
      <c r="V189"/>
      <c r="W189"/>
      <c r="X189"/>
      <c r="Y189"/>
      <c r="Z189"/>
      <c r="AA189"/>
      <c r="AB189"/>
      <c r="AC189"/>
      <c r="AD189"/>
      <c r="AE189"/>
      <c r="AF189"/>
      <c r="AG189"/>
      <c r="AH189"/>
      <c r="AI189"/>
      <c r="AJ189" s="9"/>
      <c r="AM189" s="9"/>
      <c r="AN189" s="9"/>
    </row>
    <row r="190" spans="9:40" x14ac:dyDescent="0.2">
      <c r="I190" s="9"/>
      <c r="L190" s="9"/>
      <c r="O190" s="9"/>
      <c r="R190" s="9"/>
      <c r="S190"/>
      <c r="T190"/>
      <c r="U190"/>
      <c r="V190"/>
      <c r="W190"/>
      <c r="X190"/>
      <c r="Y190"/>
      <c r="Z190"/>
      <c r="AA190"/>
      <c r="AB190"/>
      <c r="AC190"/>
      <c r="AD190"/>
      <c r="AE190"/>
      <c r="AF190"/>
      <c r="AG190"/>
      <c r="AH190"/>
      <c r="AI190"/>
      <c r="AJ190" s="9"/>
      <c r="AM190" s="9"/>
      <c r="AN190" s="9"/>
    </row>
    <row r="191" spans="9:40" x14ac:dyDescent="0.2">
      <c r="I191" s="9"/>
      <c r="L191" s="9"/>
      <c r="O191" s="9"/>
      <c r="R191" s="9"/>
      <c r="S191"/>
      <c r="T191"/>
      <c r="U191"/>
      <c r="V191"/>
      <c r="W191"/>
      <c r="X191"/>
      <c r="Y191"/>
      <c r="Z191"/>
      <c r="AA191"/>
      <c r="AB191"/>
      <c r="AC191"/>
      <c r="AD191"/>
      <c r="AE191"/>
      <c r="AF191"/>
      <c r="AG191"/>
      <c r="AH191"/>
      <c r="AI191"/>
      <c r="AJ191" s="9"/>
      <c r="AM191" s="9"/>
      <c r="AN191" s="9"/>
    </row>
    <row r="192" spans="9:40" x14ac:dyDescent="0.2">
      <c r="I192" s="9"/>
      <c r="L192" s="9"/>
      <c r="O192" s="9"/>
      <c r="R192" s="9"/>
      <c r="S192"/>
      <c r="T192"/>
      <c r="U192"/>
      <c r="V192"/>
      <c r="W192"/>
      <c r="X192"/>
      <c r="Y192"/>
      <c r="Z192"/>
      <c r="AA192"/>
      <c r="AB192"/>
      <c r="AC192"/>
      <c r="AD192"/>
      <c r="AE192"/>
      <c r="AF192"/>
      <c r="AG192"/>
      <c r="AH192"/>
      <c r="AI192"/>
      <c r="AJ192" s="9"/>
      <c r="AM192" s="9"/>
      <c r="AN192" s="9"/>
    </row>
    <row r="193" spans="9:40" x14ac:dyDescent="0.2">
      <c r="I193" s="9"/>
      <c r="L193" s="9"/>
      <c r="O193" s="9"/>
      <c r="R193" s="9"/>
      <c r="S193"/>
      <c r="T193"/>
      <c r="U193"/>
      <c r="V193"/>
      <c r="W193"/>
      <c r="X193"/>
      <c r="Y193"/>
      <c r="Z193"/>
      <c r="AA193"/>
      <c r="AB193"/>
      <c r="AC193"/>
      <c r="AD193"/>
      <c r="AE193"/>
      <c r="AF193"/>
      <c r="AG193"/>
      <c r="AH193"/>
      <c r="AI193"/>
      <c r="AJ193" s="9"/>
      <c r="AM193" s="9"/>
      <c r="AN193" s="9"/>
    </row>
    <row r="194" spans="9:40" x14ac:dyDescent="0.2">
      <c r="I194" s="9"/>
      <c r="L194" s="9"/>
      <c r="O194" s="9"/>
      <c r="R194" s="9"/>
      <c r="S194"/>
      <c r="T194"/>
      <c r="U194"/>
      <c r="V194"/>
      <c r="W194"/>
      <c r="X194"/>
      <c r="Y194"/>
      <c r="Z194"/>
      <c r="AA194"/>
      <c r="AB194"/>
      <c r="AC194"/>
      <c r="AD194"/>
      <c r="AE194"/>
      <c r="AF194"/>
      <c r="AG194"/>
      <c r="AH194"/>
      <c r="AI194"/>
      <c r="AJ194" s="9"/>
      <c r="AM194" s="9"/>
      <c r="AN194" s="9"/>
    </row>
    <row r="195" spans="9:40" x14ac:dyDescent="0.2">
      <c r="I195" s="9"/>
      <c r="L195" s="9"/>
      <c r="O195" s="9"/>
      <c r="R195" s="9"/>
      <c r="S195"/>
      <c r="T195"/>
      <c r="U195"/>
      <c r="V195"/>
      <c r="W195"/>
      <c r="X195"/>
      <c r="Y195"/>
      <c r="Z195"/>
      <c r="AA195"/>
      <c r="AB195"/>
      <c r="AC195"/>
      <c r="AD195"/>
      <c r="AE195"/>
      <c r="AF195"/>
      <c r="AG195"/>
      <c r="AH195"/>
      <c r="AI195"/>
      <c r="AJ195" s="9"/>
      <c r="AM195" s="9"/>
      <c r="AN195" s="9"/>
    </row>
    <row r="196" spans="9:40" x14ac:dyDescent="0.2">
      <c r="I196" s="9"/>
      <c r="L196" s="9"/>
      <c r="O196" s="9"/>
      <c r="R196" s="9"/>
      <c r="S196"/>
      <c r="T196"/>
      <c r="U196"/>
      <c r="V196"/>
      <c r="W196"/>
      <c r="X196"/>
      <c r="Y196"/>
      <c r="Z196"/>
      <c r="AA196"/>
      <c r="AB196"/>
      <c r="AC196"/>
      <c r="AD196"/>
      <c r="AE196"/>
      <c r="AF196"/>
      <c r="AG196"/>
      <c r="AH196"/>
      <c r="AI196"/>
      <c r="AJ196" s="9"/>
      <c r="AM196" s="9"/>
      <c r="AN196" s="9"/>
    </row>
    <row r="197" spans="9:40" x14ac:dyDescent="0.2">
      <c r="I197" s="9"/>
      <c r="L197" s="9"/>
      <c r="O197" s="9"/>
      <c r="R197" s="9"/>
      <c r="S197"/>
      <c r="T197"/>
      <c r="U197"/>
      <c r="V197"/>
      <c r="W197"/>
      <c r="X197"/>
      <c r="Y197"/>
      <c r="Z197"/>
      <c r="AA197"/>
      <c r="AB197"/>
      <c r="AC197"/>
      <c r="AD197"/>
      <c r="AE197"/>
      <c r="AF197"/>
      <c r="AG197"/>
      <c r="AH197"/>
      <c r="AI197"/>
      <c r="AJ197" s="9"/>
      <c r="AM197" s="9"/>
      <c r="AN197" s="9"/>
    </row>
    <row r="198" spans="9:40" x14ac:dyDescent="0.2">
      <c r="I198" s="9"/>
      <c r="L198" s="9"/>
      <c r="O198" s="9"/>
      <c r="R198" s="9"/>
      <c r="S198"/>
      <c r="T198"/>
      <c r="U198"/>
      <c r="V198"/>
      <c r="W198"/>
      <c r="X198"/>
      <c r="Y198"/>
      <c r="Z198"/>
      <c r="AA198"/>
      <c r="AB198"/>
      <c r="AC198"/>
      <c r="AD198"/>
      <c r="AE198"/>
      <c r="AF198"/>
      <c r="AG198"/>
      <c r="AH198"/>
      <c r="AI198"/>
      <c r="AJ198" s="9"/>
      <c r="AM198" s="9"/>
      <c r="AN198" s="9"/>
    </row>
    <row r="199" spans="9:40" x14ac:dyDescent="0.2">
      <c r="I199" s="9"/>
      <c r="L199" s="9"/>
      <c r="O199" s="9"/>
      <c r="R199" s="9"/>
      <c r="S199"/>
      <c r="T199"/>
      <c r="U199"/>
      <c r="V199"/>
      <c r="W199"/>
      <c r="X199"/>
      <c r="Y199"/>
      <c r="Z199"/>
      <c r="AA199"/>
      <c r="AB199"/>
      <c r="AC199"/>
      <c r="AD199"/>
      <c r="AE199"/>
      <c r="AF199"/>
      <c r="AG199"/>
      <c r="AH199"/>
      <c r="AI199"/>
      <c r="AJ199" s="9"/>
      <c r="AM199" s="9"/>
      <c r="AN199" s="9"/>
    </row>
    <row r="200" spans="9:40" x14ac:dyDescent="0.2">
      <c r="I200" s="9"/>
      <c r="L200" s="9"/>
      <c r="O200" s="9"/>
      <c r="R200" s="9"/>
      <c r="S200"/>
      <c r="T200"/>
      <c r="U200"/>
      <c r="V200"/>
      <c r="W200"/>
      <c r="X200"/>
      <c r="Y200"/>
      <c r="Z200"/>
      <c r="AA200"/>
      <c r="AB200"/>
      <c r="AC200"/>
      <c r="AD200"/>
      <c r="AE200"/>
      <c r="AF200"/>
      <c r="AG200"/>
      <c r="AH200"/>
      <c r="AI200"/>
      <c r="AJ200" s="9"/>
      <c r="AM200" s="9"/>
      <c r="AN200" s="9"/>
    </row>
    <row r="201" spans="9:40" x14ac:dyDescent="0.2">
      <c r="I201" s="9"/>
      <c r="L201" s="9"/>
      <c r="O201" s="9"/>
      <c r="R201" s="9"/>
      <c r="S201"/>
      <c r="T201"/>
      <c r="U201"/>
      <c r="V201"/>
      <c r="W201"/>
      <c r="X201"/>
      <c r="Y201"/>
      <c r="Z201"/>
      <c r="AA201"/>
      <c r="AB201"/>
      <c r="AC201"/>
      <c r="AD201"/>
      <c r="AE201"/>
      <c r="AF201"/>
      <c r="AG201"/>
      <c r="AH201"/>
      <c r="AI201"/>
      <c r="AJ201" s="9"/>
      <c r="AM201" s="9"/>
      <c r="AN201" s="9"/>
    </row>
    <row r="202" spans="9:40" x14ac:dyDescent="0.2">
      <c r="I202" s="9"/>
      <c r="L202" s="9"/>
      <c r="O202" s="9"/>
      <c r="R202" s="9"/>
      <c r="S202"/>
      <c r="T202"/>
      <c r="U202"/>
      <c r="V202"/>
      <c r="W202"/>
      <c r="X202"/>
      <c r="Y202"/>
      <c r="Z202"/>
      <c r="AA202"/>
      <c r="AB202"/>
      <c r="AC202"/>
      <c r="AD202"/>
      <c r="AE202"/>
      <c r="AF202"/>
      <c r="AG202"/>
      <c r="AH202"/>
      <c r="AI202"/>
      <c r="AJ202" s="9"/>
      <c r="AM202" s="9"/>
      <c r="AN202" s="9"/>
    </row>
    <row r="203" spans="9:40" x14ac:dyDescent="0.2">
      <c r="I203" s="9"/>
      <c r="L203" s="9"/>
      <c r="O203" s="9"/>
      <c r="R203" s="9"/>
      <c r="S203"/>
      <c r="T203"/>
      <c r="U203"/>
      <c r="V203"/>
      <c r="W203"/>
      <c r="X203"/>
      <c r="Y203"/>
      <c r="Z203"/>
      <c r="AA203"/>
      <c r="AB203"/>
      <c r="AC203"/>
      <c r="AD203"/>
      <c r="AE203"/>
      <c r="AF203"/>
      <c r="AG203"/>
      <c r="AH203"/>
      <c r="AI203"/>
      <c r="AJ203" s="9"/>
      <c r="AM203" s="9"/>
      <c r="AN203" s="9"/>
    </row>
    <row r="204" spans="9:40" x14ac:dyDescent="0.2">
      <c r="I204" s="9"/>
      <c r="L204" s="9"/>
      <c r="O204" s="9"/>
      <c r="R204" s="9"/>
      <c r="S204"/>
      <c r="T204"/>
      <c r="U204"/>
      <c r="V204"/>
      <c r="W204"/>
      <c r="X204"/>
      <c r="Y204"/>
      <c r="Z204"/>
      <c r="AA204"/>
      <c r="AB204"/>
      <c r="AC204"/>
      <c r="AD204"/>
      <c r="AE204"/>
      <c r="AF204"/>
      <c r="AG204"/>
      <c r="AH204"/>
      <c r="AI204"/>
      <c r="AJ204" s="9"/>
      <c r="AM204" s="9"/>
      <c r="AN204" s="9"/>
    </row>
    <row r="205" spans="9:40" x14ac:dyDescent="0.2">
      <c r="I205" s="9"/>
      <c r="L205" s="9"/>
      <c r="O205" s="9"/>
      <c r="R205" s="9"/>
      <c r="S205"/>
      <c r="T205"/>
      <c r="U205"/>
      <c r="V205"/>
      <c r="W205"/>
      <c r="X205"/>
      <c r="Y205"/>
      <c r="Z205"/>
      <c r="AA205"/>
      <c r="AB205"/>
      <c r="AC205"/>
      <c r="AD205"/>
      <c r="AE205"/>
      <c r="AF205"/>
      <c r="AG205"/>
      <c r="AH205"/>
      <c r="AI205"/>
      <c r="AJ205" s="9"/>
      <c r="AM205" s="9"/>
      <c r="AN205" s="9"/>
    </row>
    <row r="206" spans="9:40" x14ac:dyDescent="0.2">
      <c r="I206" s="9"/>
      <c r="L206" s="9"/>
      <c r="O206" s="9"/>
      <c r="R206" s="9"/>
      <c r="S206"/>
      <c r="T206"/>
      <c r="U206"/>
      <c r="V206"/>
      <c r="W206"/>
      <c r="X206"/>
      <c r="Y206"/>
      <c r="Z206"/>
      <c r="AA206"/>
      <c r="AB206"/>
      <c r="AC206"/>
      <c r="AD206"/>
      <c r="AE206"/>
      <c r="AF206"/>
      <c r="AG206"/>
      <c r="AH206"/>
      <c r="AI206"/>
      <c r="AJ206" s="9"/>
      <c r="AM206" s="9"/>
      <c r="AN206" s="9"/>
    </row>
    <row r="207" spans="9:40" x14ac:dyDescent="0.2">
      <c r="I207" s="9"/>
      <c r="L207" s="9"/>
      <c r="O207" s="9"/>
      <c r="R207" s="9"/>
      <c r="S207"/>
      <c r="T207"/>
      <c r="U207"/>
      <c r="V207"/>
      <c r="W207"/>
      <c r="X207"/>
      <c r="Y207"/>
      <c r="Z207"/>
      <c r="AA207"/>
      <c r="AB207"/>
      <c r="AC207"/>
      <c r="AD207"/>
      <c r="AE207"/>
      <c r="AF207"/>
      <c r="AG207"/>
      <c r="AH207"/>
      <c r="AI207"/>
      <c r="AJ207" s="9"/>
      <c r="AM207" s="9"/>
      <c r="AN207" s="9"/>
    </row>
    <row r="208" spans="9:40" x14ac:dyDescent="0.2">
      <c r="I208" s="9"/>
      <c r="L208" s="9"/>
      <c r="O208" s="9"/>
      <c r="R208" s="9"/>
      <c r="S208"/>
      <c r="T208"/>
      <c r="U208"/>
      <c r="V208"/>
      <c r="W208"/>
      <c r="X208"/>
      <c r="Y208"/>
      <c r="Z208"/>
      <c r="AA208"/>
      <c r="AB208"/>
      <c r="AC208"/>
      <c r="AD208"/>
      <c r="AE208"/>
      <c r="AF208"/>
      <c r="AG208"/>
      <c r="AH208"/>
      <c r="AI208"/>
      <c r="AJ208" s="9"/>
      <c r="AM208" s="9"/>
      <c r="AN208" s="9"/>
    </row>
    <row r="209" spans="9:40" x14ac:dyDescent="0.2">
      <c r="I209" s="9"/>
      <c r="L209" s="9"/>
      <c r="O209" s="9"/>
      <c r="R209" s="9"/>
      <c r="S209"/>
      <c r="T209"/>
      <c r="U209"/>
      <c r="V209"/>
      <c r="W209"/>
      <c r="X209"/>
      <c r="Y209"/>
      <c r="Z209"/>
      <c r="AA209"/>
      <c r="AB209"/>
      <c r="AC209"/>
      <c r="AD209"/>
      <c r="AE209"/>
      <c r="AF209"/>
      <c r="AG209"/>
      <c r="AH209"/>
      <c r="AI209"/>
      <c r="AJ209" s="9"/>
      <c r="AM209" s="9"/>
      <c r="AN209" s="9"/>
    </row>
    <row r="210" spans="9:40" x14ac:dyDescent="0.2">
      <c r="I210" s="9"/>
      <c r="L210" s="9"/>
      <c r="O210" s="9"/>
      <c r="R210" s="9"/>
      <c r="S210"/>
      <c r="T210"/>
      <c r="U210"/>
      <c r="V210"/>
      <c r="W210"/>
      <c r="X210"/>
      <c r="Y210"/>
      <c r="Z210"/>
      <c r="AA210"/>
      <c r="AB210"/>
      <c r="AC210"/>
      <c r="AD210"/>
      <c r="AE210"/>
      <c r="AF210"/>
      <c r="AG210"/>
      <c r="AH210"/>
      <c r="AI210"/>
      <c r="AJ210" s="9"/>
      <c r="AM210" s="9"/>
      <c r="AN210" s="9"/>
    </row>
    <row r="211" spans="9:40" x14ac:dyDescent="0.2">
      <c r="I211" s="9"/>
      <c r="L211" s="9"/>
      <c r="O211" s="9"/>
      <c r="R211" s="9"/>
      <c r="S211"/>
      <c r="T211"/>
      <c r="U211"/>
      <c r="V211"/>
      <c r="W211"/>
      <c r="X211"/>
      <c r="Y211"/>
      <c r="Z211"/>
      <c r="AA211"/>
      <c r="AB211"/>
      <c r="AC211"/>
      <c r="AD211"/>
      <c r="AE211"/>
      <c r="AF211"/>
      <c r="AG211"/>
      <c r="AH211"/>
      <c r="AI211"/>
      <c r="AJ211" s="9"/>
      <c r="AM211" s="9"/>
      <c r="AN211" s="9"/>
    </row>
    <row r="212" spans="9:40" x14ac:dyDescent="0.2">
      <c r="I212" s="9"/>
      <c r="L212" s="9"/>
      <c r="O212" s="9"/>
      <c r="R212" s="9"/>
      <c r="S212"/>
      <c r="T212"/>
      <c r="U212"/>
      <c r="V212"/>
      <c r="W212"/>
      <c r="X212"/>
      <c r="Y212"/>
      <c r="Z212"/>
      <c r="AA212"/>
      <c r="AB212"/>
      <c r="AC212"/>
      <c r="AD212"/>
      <c r="AE212"/>
      <c r="AF212"/>
      <c r="AG212"/>
      <c r="AH212"/>
      <c r="AI212"/>
      <c r="AJ212" s="9"/>
      <c r="AM212" s="9"/>
      <c r="AN212" s="9"/>
    </row>
    <row r="213" spans="9:40" x14ac:dyDescent="0.2">
      <c r="I213" s="9"/>
      <c r="L213" s="9"/>
      <c r="O213" s="9"/>
      <c r="R213" s="9"/>
      <c r="S213"/>
      <c r="T213"/>
      <c r="U213"/>
      <c r="V213"/>
      <c r="W213"/>
      <c r="X213"/>
      <c r="Y213"/>
      <c r="Z213"/>
      <c r="AA213"/>
      <c r="AB213"/>
      <c r="AC213"/>
      <c r="AD213"/>
      <c r="AE213"/>
      <c r="AF213"/>
      <c r="AG213"/>
      <c r="AH213"/>
      <c r="AI213"/>
      <c r="AJ213" s="9"/>
      <c r="AM213" s="9"/>
      <c r="AN213" s="9"/>
    </row>
    <row r="214" spans="9:40" x14ac:dyDescent="0.2">
      <c r="I214" s="9"/>
      <c r="L214" s="9"/>
      <c r="O214" s="9"/>
      <c r="R214" s="9"/>
      <c r="S214"/>
      <c r="T214"/>
      <c r="U214"/>
      <c r="V214"/>
      <c r="W214"/>
      <c r="X214"/>
      <c r="Y214"/>
      <c r="Z214"/>
      <c r="AA214"/>
      <c r="AB214"/>
      <c r="AC214"/>
      <c r="AD214"/>
      <c r="AE214"/>
      <c r="AF214"/>
      <c r="AG214"/>
      <c r="AH214"/>
      <c r="AI214"/>
      <c r="AJ214" s="9"/>
      <c r="AM214" s="9"/>
      <c r="AN214" s="9"/>
    </row>
    <row r="215" spans="9:40" x14ac:dyDescent="0.2">
      <c r="I215" s="9"/>
      <c r="L215" s="9"/>
      <c r="O215" s="9"/>
      <c r="R215" s="9"/>
      <c r="S215"/>
      <c r="T215"/>
      <c r="U215"/>
      <c r="V215"/>
      <c r="W215"/>
      <c r="X215"/>
      <c r="Y215"/>
      <c r="Z215"/>
      <c r="AA215"/>
      <c r="AB215"/>
      <c r="AC215"/>
      <c r="AD215"/>
      <c r="AE215"/>
      <c r="AF215"/>
      <c r="AG215"/>
      <c r="AH215"/>
      <c r="AI215"/>
      <c r="AJ215" s="9"/>
      <c r="AM215" s="9"/>
      <c r="AN215" s="9"/>
    </row>
    <row r="216" spans="9:40" x14ac:dyDescent="0.2">
      <c r="I216" s="9"/>
      <c r="L216" s="9"/>
      <c r="O216" s="9"/>
      <c r="R216" s="9"/>
      <c r="S216"/>
      <c r="T216"/>
      <c r="U216"/>
      <c r="V216"/>
      <c r="W216"/>
      <c r="X216"/>
      <c r="Y216"/>
      <c r="Z216"/>
      <c r="AA216"/>
      <c r="AB216"/>
      <c r="AC216"/>
      <c r="AD216"/>
      <c r="AE216"/>
      <c r="AF216"/>
      <c r="AG216"/>
      <c r="AH216"/>
      <c r="AI216"/>
      <c r="AJ216" s="9"/>
      <c r="AM216" s="9"/>
      <c r="AN216" s="9"/>
    </row>
    <row r="217" spans="9:40" x14ac:dyDescent="0.2">
      <c r="I217" s="9"/>
      <c r="L217" s="9"/>
      <c r="O217" s="9"/>
      <c r="R217" s="9"/>
      <c r="S217"/>
      <c r="T217"/>
      <c r="U217"/>
      <c r="V217"/>
      <c r="W217"/>
      <c r="X217"/>
      <c r="Y217"/>
      <c r="Z217"/>
      <c r="AA217"/>
      <c r="AB217"/>
      <c r="AC217"/>
      <c r="AD217"/>
      <c r="AE217"/>
      <c r="AF217"/>
      <c r="AG217"/>
      <c r="AH217"/>
      <c r="AI217"/>
      <c r="AJ217" s="9"/>
      <c r="AM217" s="9"/>
      <c r="AN217" s="9"/>
    </row>
    <row r="218" spans="9:40" x14ac:dyDescent="0.2">
      <c r="I218" s="9"/>
      <c r="L218" s="9"/>
      <c r="O218" s="9"/>
      <c r="R218" s="9"/>
      <c r="S218"/>
      <c r="T218"/>
      <c r="U218"/>
      <c r="V218"/>
      <c r="W218"/>
      <c r="X218"/>
      <c r="Y218"/>
      <c r="Z218"/>
      <c r="AA218"/>
      <c r="AB218"/>
      <c r="AC218"/>
      <c r="AD218"/>
      <c r="AE218"/>
      <c r="AF218"/>
      <c r="AG218"/>
      <c r="AH218"/>
      <c r="AI218"/>
      <c r="AJ218" s="9"/>
      <c r="AM218" s="9"/>
      <c r="AN218" s="9"/>
    </row>
    <row r="219" spans="9:40" x14ac:dyDescent="0.2">
      <c r="I219" s="9"/>
      <c r="L219" s="9"/>
      <c r="O219" s="9"/>
      <c r="R219" s="9"/>
      <c r="S219"/>
      <c r="T219"/>
      <c r="U219"/>
      <c r="V219"/>
      <c r="W219"/>
      <c r="X219"/>
      <c r="Y219"/>
      <c r="Z219"/>
      <c r="AA219"/>
      <c r="AB219"/>
      <c r="AC219"/>
      <c r="AD219"/>
      <c r="AE219"/>
      <c r="AF219"/>
      <c r="AG219"/>
      <c r="AH219"/>
      <c r="AI219"/>
      <c r="AJ219" s="9"/>
      <c r="AM219" s="9"/>
      <c r="AN219" s="9"/>
    </row>
    <row r="220" spans="9:40" x14ac:dyDescent="0.2">
      <c r="I220" s="9"/>
      <c r="L220" s="9"/>
      <c r="O220" s="9"/>
      <c r="R220" s="9"/>
      <c r="S220"/>
      <c r="T220"/>
      <c r="U220"/>
      <c r="V220"/>
      <c r="W220"/>
      <c r="X220"/>
      <c r="Y220"/>
      <c r="Z220"/>
      <c r="AA220"/>
      <c r="AB220"/>
      <c r="AC220"/>
      <c r="AD220"/>
      <c r="AE220"/>
      <c r="AF220"/>
      <c r="AG220"/>
      <c r="AH220"/>
      <c r="AI220"/>
      <c r="AJ220" s="9"/>
      <c r="AM220" s="9"/>
      <c r="AN220" s="9"/>
    </row>
    <row r="221" spans="9:40" x14ac:dyDescent="0.2">
      <c r="I221" s="9"/>
      <c r="L221" s="9"/>
      <c r="O221" s="9"/>
      <c r="R221" s="9"/>
      <c r="S221"/>
      <c r="T221"/>
      <c r="U221"/>
      <c r="V221"/>
      <c r="W221"/>
      <c r="X221"/>
      <c r="Y221"/>
      <c r="Z221"/>
      <c r="AA221"/>
      <c r="AB221"/>
      <c r="AC221"/>
      <c r="AD221"/>
      <c r="AE221"/>
      <c r="AF221"/>
      <c r="AG221"/>
      <c r="AH221"/>
      <c r="AI221"/>
      <c r="AJ221" s="9"/>
      <c r="AM221" s="9"/>
      <c r="AN221" s="9"/>
    </row>
    <row r="222" spans="9:40" x14ac:dyDescent="0.2">
      <c r="I222" s="9"/>
      <c r="L222" s="9"/>
      <c r="O222" s="9"/>
      <c r="R222" s="9"/>
      <c r="S222"/>
      <c r="T222"/>
      <c r="U222"/>
      <c r="V222"/>
      <c r="W222"/>
      <c r="X222"/>
      <c r="Y222"/>
      <c r="Z222"/>
      <c r="AA222"/>
      <c r="AB222"/>
      <c r="AC222"/>
      <c r="AD222"/>
      <c r="AE222"/>
      <c r="AF222"/>
      <c r="AG222"/>
      <c r="AH222"/>
      <c r="AI222"/>
      <c r="AJ222" s="9"/>
      <c r="AM222" s="9"/>
      <c r="AN222" s="9"/>
    </row>
    <row r="223" spans="9:40" x14ac:dyDescent="0.2">
      <c r="I223" s="9"/>
      <c r="L223" s="9"/>
      <c r="O223" s="9"/>
      <c r="R223" s="9"/>
      <c r="S223"/>
      <c r="T223"/>
      <c r="U223"/>
      <c r="V223"/>
      <c r="W223"/>
      <c r="X223"/>
      <c r="Y223"/>
      <c r="Z223"/>
      <c r="AA223"/>
      <c r="AB223"/>
      <c r="AC223"/>
      <c r="AD223"/>
      <c r="AE223"/>
      <c r="AF223"/>
      <c r="AG223"/>
      <c r="AH223"/>
      <c r="AI223"/>
      <c r="AJ223" s="9"/>
      <c r="AM223" s="9"/>
      <c r="AN223" s="9"/>
    </row>
    <row r="224" spans="9:40" x14ac:dyDescent="0.2">
      <c r="I224" s="9"/>
      <c r="L224" s="9"/>
      <c r="O224" s="9"/>
      <c r="R224" s="9"/>
      <c r="S224"/>
      <c r="T224"/>
      <c r="U224"/>
      <c r="V224"/>
      <c r="W224"/>
      <c r="X224"/>
      <c r="Y224"/>
      <c r="Z224"/>
      <c r="AA224"/>
      <c r="AB224"/>
      <c r="AC224"/>
      <c r="AD224"/>
      <c r="AE224"/>
      <c r="AF224"/>
      <c r="AG224"/>
      <c r="AH224"/>
      <c r="AI224"/>
      <c r="AJ224" s="9"/>
      <c r="AM224" s="9"/>
      <c r="AN224" s="9"/>
    </row>
    <row r="225" spans="9:40" x14ac:dyDescent="0.2">
      <c r="I225" s="9"/>
      <c r="L225" s="9"/>
      <c r="O225" s="9"/>
      <c r="R225" s="9"/>
      <c r="S225"/>
      <c r="T225"/>
      <c r="U225"/>
      <c r="V225"/>
      <c r="W225"/>
      <c r="X225"/>
      <c r="Y225"/>
      <c r="Z225"/>
      <c r="AA225"/>
      <c r="AB225"/>
      <c r="AC225"/>
      <c r="AD225"/>
      <c r="AE225"/>
      <c r="AF225"/>
      <c r="AG225"/>
      <c r="AH225"/>
      <c r="AI225"/>
      <c r="AJ225" s="9"/>
      <c r="AM225" s="9"/>
      <c r="AN225" s="9"/>
    </row>
    <row r="226" spans="9:40" x14ac:dyDescent="0.2">
      <c r="I226" s="9"/>
      <c r="L226" s="9"/>
      <c r="O226" s="9"/>
      <c r="R226" s="9"/>
      <c r="S226"/>
      <c r="T226"/>
      <c r="U226"/>
      <c r="V226"/>
      <c r="W226"/>
      <c r="X226"/>
      <c r="Y226"/>
      <c r="Z226"/>
      <c r="AA226"/>
      <c r="AB226"/>
      <c r="AC226"/>
      <c r="AD226"/>
      <c r="AE226"/>
      <c r="AF226"/>
      <c r="AG226"/>
      <c r="AH226"/>
      <c r="AI226"/>
      <c r="AJ226" s="9"/>
      <c r="AM226" s="9"/>
      <c r="AN226" s="9"/>
    </row>
    <row r="227" spans="9:40" x14ac:dyDescent="0.2">
      <c r="I227" s="9"/>
      <c r="L227" s="9"/>
      <c r="O227" s="9"/>
      <c r="R227" s="9"/>
      <c r="S227"/>
      <c r="T227"/>
      <c r="U227"/>
      <c r="V227"/>
      <c r="W227"/>
      <c r="X227"/>
      <c r="Y227"/>
      <c r="Z227"/>
      <c r="AA227"/>
      <c r="AB227"/>
      <c r="AC227"/>
      <c r="AD227"/>
      <c r="AE227"/>
      <c r="AF227"/>
      <c r="AG227"/>
      <c r="AH227"/>
      <c r="AI227"/>
      <c r="AJ227" s="9"/>
      <c r="AM227" s="9"/>
      <c r="AN227" s="9"/>
    </row>
    <row r="228" spans="9:40" x14ac:dyDescent="0.2">
      <c r="I228" s="9"/>
      <c r="L228" s="9"/>
      <c r="O228" s="9"/>
      <c r="R228" s="9"/>
      <c r="S228"/>
      <c r="T228"/>
      <c r="U228"/>
      <c r="V228"/>
      <c r="W228"/>
      <c r="X228"/>
      <c r="Y228"/>
      <c r="Z228"/>
      <c r="AA228"/>
      <c r="AB228"/>
      <c r="AC228"/>
      <c r="AD228"/>
      <c r="AE228"/>
      <c r="AF228"/>
      <c r="AG228"/>
      <c r="AH228"/>
      <c r="AI228"/>
      <c r="AJ228" s="9"/>
      <c r="AM228" s="9"/>
      <c r="AN228" s="9"/>
    </row>
    <row r="229" spans="9:40" x14ac:dyDescent="0.2">
      <c r="I229" s="9"/>
      <c r="L229" s="9"/>
      <c r="O229" s="9"/>
      <c r="R229" s="9"/>
      <c r="S229"/>
      <c r="T229"/>
      <c r="U229"/>
      <c r="V229"/>
      <c r="W229"/>
      <c r="X229"/>
      <c r="Y229"/>
      <c r="Z229"/>
      <c r="AA229"/>
      <c r="AB229"/>
      <c r="AC229"/>
      <c r="AD229"/>
      <c r="AE229"/>
      <c r="AF229"/>
      <c r="AG229"/>
      <c r="AH229"/>
      <c r="AI229"/>
      <c r="AJ229" s="9"/>
      <c r="AM229" s="9"/>
      <c r="AN229" s="9"/>
    </row>
    <row r="230" spans="9:40" x14ac:dyDescent="0.2">
      <c r="I230" s="9"/>
      <c r="L230" s="9"/>
      <c r="O230" s="9"/>
      <c r="R230" s="9"/>
      <c r="S230"/>
      <c r="T230"/>
      <c r="U230"/>
      <c r="V230"/>
      <c r="W230"/>
      <c r="X230"/>
      <c r="Y230"/>
      <c r="Z230"/>
      <c r="AA230"/>
      <c r="AB230"/>
      <c r="AC230"/>
      <c r="AD230"/>
      <c r="AE230"/>
      <c r="AF230"/>
      <c r="AG230"/>
      <c r="AH230"/>
      <c r="AI230"/>
      <c r="AJ230" s="9"/>
      <c r="AM230" s="9"/>
      <c r="AN230" s="9"/>
    </row>
    <row r="231" spans="9:40" x14ac:dyDescent="0.2">
      <c r="I231" s="9"/>
      <c r="L231" s="9"/>
      <c r="O231" s="9"/>
      <c r="R231" s="9"/>
      <c r="S231"/>
      <c r="T231"/>
      <c r="U231"/>
      <c r="V231"/>
      <c r="W231"/>
      <c r="X231"/>
      <c r="Y231"/>
      <c r="Z231"/>
      <c r="AA231"/>
      <c r="AB231"/>
      <c r="AC231"/>
      <c r="AD231"/>
      <c r="AE231"/>
      <c r="AF231"/>
      <c r="AG231"/>
      <c r="AH231"/>
      <c r="AI231"/>
      <c r="AJ231" s="9"/>
      <c r="AM231" s="9"/>
      <c r="AN231" s="9"/>
    </row>
    <row r="232" spans="9:40" x14ac:dyDescent="0.2">
      <c r="I232" s="9"/>
      <c r="L232" s="9"/>
      <c r="O232" s="9"/>
      <c r="R232" s="9"/>
      <c r="S232"/>
      <c r="T232"/>
      <c r="U232"/>
      <c r="V232"/>
      <c r="W232"/>
      <c r="X232"/>
      <c r="Y232"/>
      <c r="Z232"/>
      <c r="AA232"/>
      <c r="AB232"/>
      <c r="AC232"/>
      <c r="AD232"/>
      <c r="AE232"/>
      <c r="AF232"/>
      <c r="AG232"/>
      <c r="AH232"/>
      <c r="AI232"/>
      <c r="AJ232" s="9"/>
      <c r="AM232" s="9"/>
      <c r="AN232" s="9"/>
    </row>
    <row r="233" spans="9:40" x14ac:dyDescent="0.2">
      <c r="I233" s="9"/>
      <c r="L233" s="9"/>
      <c r="O233" s="9"/>
      <c r="R233" s="9"/>
      <c r="S233"/>
      <c r="T233"/>
      <c r="U233"/>
      <c r="V233"/>
      <c r="W233"/>
      <c r="X233"/>
      <c r="Y233"/>
      <c r="Z233"/>
      <c r="AA233"/>
      <c r="AB233"/>
      <c r="AC233"/>
      <c r="AD233"/>
      <c r="AE233"/>
      <c r="AF233"/>
      <c r="AG233"/>
      <c r="AH233"/>
      <c r="AI233"/>
      <c r="AJ233" s="9"/>
      <c r="AM233" s="9"/>
      <c r="AN233" s="9"/>
    </row>
    <row r="234" spans="9:40" x14ac:dyDescent="0.2">
      <c r="I234" s="9"/>
      <c r="L234" s="9"/>
      <c r="O234" s="9"/>
      <c r="R234" s="9"/>
      <c r="S234"/>
      <c r="T234"/>
      <c r="U234"/>
      <c r="V234"/>
      <c r="W234"/>
      <c r="X234"/>
      <c r="Y234"/>
      <c r="Z234"/>
      <c r="AA234"/>
      <c r="AB234"/>
      <c r="AC234"/>
      <c r="AD234"/>
      <c r="AE234"/>
      <c r="AF234"/>
      <c r="AG234"/>
      <c r="AH234"/>
      <c r="AI234"/>
      <c r="AJ234" s="9"/>
      <c r="AM234" s="9"/>
      <c r="AN234" s="9"/>
    </row>
    <row r="235" spans="9:40" x14ac:dyDescent="0.2">
      <c r="I235" s="9"/>
      <c r="L235" s="9"/>
      <c r="O235" s="9"/>
      <c r="R235" s="9"/>
      <c r="S235"/>
      <c r="T235"/>
      <c r="U235"/>
      <c r="V235"/>
      <c r="W235"/>
      <c r="X235"/>
      <c r="Y235"/>
      <c r="Z235"/>
      <c r="AA235"/>
      <c r="AB235"/>
      <c r="AC235"/>
      <c r="AD235"/>
      <c r="AE235"/>
      <c r="AF235"/>
      <c r="AG235"/>
      <c r="AH235"/>
      <c r="AI235"/>
      <c r="AJ235" s="9"/>
      <c r="AM235" s="9"/>
      <c r="AN235" s="9"/>
    </row>
    <row r="236" spans="9:40" x14ac:dyDescent="0.2">
      <c r="I236" s="9"/>
      <c r="L236" s="9"/>
      <c r="O236" s="9"/>
      <c r="R236" s="9"/>
      <c r="S236"/>
      <c r="T236"/>
      <c r="U236"/>
      <c r="V236"/>
      <c r="W236"/>
      <c r="X236"/>
      <c r="Y236"/>
      <c r="Z236"/>
      <c r="AA236"/>
      <c r="AB236"/>
      <c r="AC236"/>
      <c r="AD236"/>
      <c r="AE236"/>
      <c r="AF236"/>
      <c r="AG236"/>
      <c r="AH236"/>
      <c r="AI236"/>
      <c r="AJ236" s="9"/>
      <c r="AM236" s="9"/>
      <c r="AN236" s="9"/>
    </row>
    <row r="237" spans="9:40" x14ac:dyDescent="0.2">
      <c r="I237" s="9"/>
      <c r="L237" s="9"/>
      <c r="O237" s="9"/>
      <c r="R237" s="9"/>
      <c r="S237"/>
      <c r="T237"/>
      <c r="U237"/>
      <c r="V237"/>
      <c r="W237"/>
      <c r="X237"/>
      <c r="Y237"/>
      <c r="Z237"/>
      <c r="AA237"/>
      <c r="AB237"/>
      <c r="AC237"/>
      <c r="AD237"/>
      <c r="AE237"/>
      <c r="AF237"/>
      <c r="AG237"/>
      <c r="AH237"/>
      <c r="AI237"/>
      <c r="AJ237" s="9"/>
      <c r="AM237" s="9"/>
      <c r="AN237" s="9"/>
    </row>
    <row r="238" spans="9:40" x14ac:dyDescent="0.2">
      <c r="I238" s="9"/>
      <c r="L238" s="9"/>
      <c r="O238" s="9"/>
      <c r="R238" s="9"/>
      <c r="S238"/>
      <c r="T238"/>
      <c r="U238"/>
      <c r="V238"/>
      <c r="W238"/>
      <c r="X238"/>
      <c r="Y238"/>
      <c r="Z238"/>
      <c r="AA238"/>
      <c r="AB238"/>
      <c r="AC238"/>
      <c r="AD238"/>
      <c r="AE238"/>
      <c r="AF238"/>
      <c r="AG238"/>
      <c r="AH238"/>
      <c r="AI238"/>
      <c r="AJ238" s="9"/>
      <c r="AM238" s="9"/>
      <c r="AN238" s="9"/>
    </row>
    <row r="239" spans="9:40" x14ac:dyDescent="0.2">
      <c r="I239" s="9"/>
      <c r="L239" s="9"/>
      <c r="O239" s="9"/>
      <c r="R239" s="9"/>
      <c r="S239"/>
      <c r="T239"/>
      <c r="U239"/>
      <c r="V239"/>
      <c r="W239"/>
      <c r="X239"/>
      <c r="Y239"/>
      <c r="Z239"/>
      <c r="AA239"/>
      <c r="AB239"/>
      <c r="AC239"/>
      <c r="AD239"/>
      <c r="AE239"/>
      <c r="AF239"/>
      <c r="AG239"/>
      <c r="AH239"/>
      <c r="AI239"/>
      <c r="AJ239" s="9"/>
      <c r="AM239" s="9"/>
      <c r="AN239" s="9"/>
    </row>
    <row r="240" spans="9:40" x14ac:dyDescent="0.2">
      <c r="I240" s="9"/>
      <c r="L240" s="9"/>
      <c r="O240" s="9"/>
      <c r="R240" s="9"/>
      <c r="S240"/>
      <c r="T240"/>
      <c r="U240"/>
      <c r="V240"/>
      <c r="W240"/>
      <c r="X240"/>
      <c r="Y240"/>
      <c r="Z240"/>
      <c r="AA240"/>
      <c r="AB240"/>
      <c r="AC240"/>
      <c r="AD240"/>
      <c r="AE240"/>
      <c r="AF240"/>
      <c r="AG240"/>
      <c r="AH240"/>
      <c r="AI240"/>
      <c r="AJ240" s="9"/>
      <c r="AM240" s="9"/>
      <c r="AN240" s="9"/>
    </row>
    <row r="241" spans="9:40" x14ac:dyDescent="0.2">
      <c r="I241" s="9"/>
      <c r="L241" s="9"/>
      <c r="O241" s="9"/>
      <c r="R241" s="9"/>
      <c r="S241"/>
      <c r="T241"/>
      <c r="U241"/>
      <c r="V241"/>
      <c r="W241"/>
      <c r="X241"/>
      <c r="Y241"/>
      <c r="Z241"/>
      <c r="AA241"/>
      <c r="AB241"/>
      <c r="AC241"/>
      <c r="AD241"/>
      <c r="AE241"/>
      <c r="AF241"/>
      <c r="AG241"/>
      <c r="AH241"/>
      <c r="AI241"/>
      <c r="AJ241" s="9"/>
      <c r="AM241" s="9"/>
      <c r="AN241" s="9"/>
    </row>
    <row r="242" spans="9:40" x14ac:dyDescent="0.2">
      <c r="I242" s="9"/>
      <c r="L242" s="9"/>
      <c r="O242" s="9"/>
      <c r="R242" s="9"/>
      <c r="S242"/>
      <c r="T242"/>
      <c r="U242"/>
      <c r="V242"/>
      <c r="W242"/>
      <c r="X242"/>
      <c r="Y242"/>
      <c r="Z242"/>
      <c r="AA242"/>
      <c r="AB242"/>
      <c r="AC242"/>
      <c r="AD242"/>
      <c r="AE242"/>
      <c r="AF242"/>
      <c r="AG242"/>
      <c r="AH242"/>
      <c r="AI242"/>
      <c r="AJ242" s="9"/>
      <c r="AM242" s="9"/>
      <c r="AN242" s="9"/>
    </row>
    <row r="243" spans="9:40" x14ac:dyDescent="0.2">
      <c r="I243" s="9"/>
      <c r="L243" s="9"/>
      <c r="O243" s="9"/>
      <c r="R243" s="9"/>
      <c r="S243"/>
      <c r="T243"/>
      <c r="U243"/>
      <c r="V243"/>
      <c r="W243"/>
      <c r="X243"/>
      <c r="Y243"/>
      <c r="Z243"/>
      <c r="AA243"/>
      <c r="AB243"/>
      <c r="AC243"/>
      <c r="AD243"/>
      <c r="AE243"/>
      <c r="AF243"/>
      <c r="AG243"/>
      <c r="AH243"/>
      <c r="AI243"/>
      <c r="AJ243" s="9"/>
      <c r="AM243" s="9"/>
      <c r="AN243" s="9"/>
    </row>
    <row r="244" spans="9:40" x14ac:dyDescent="0.2">
      <c r="I244" s="9"/>
      <c r="L244" s="9"/>
      <c r="O244" s="9"/>
      <c r="R244" s="9"/>
      <c r="S244"/>
      <c r="T244"/>
      <c r="U244"/>
      <c r="V244"/>
      <c r="W244"/>
      <c r="X244"/>
      <c r="Y244"/>
      <c r="Z244"/>
      <c r="AA244"/>
      <c r="AB244"/>
      <c r="AC244"/>
      <c r="AD244"/>
      <c r="AE244"/>
      <c r="AF244"/>
      <c r="AG244"/>
      <c r="AH244"/>
      <c r="AI244"/>
      <c r="AJ244" s="9"/>
      <c r="AM244" s="9"/>
      <c r="AN244" s="9"/>
    </row>
    <row r="245" spans="9:40" x14ac:dyDescent="0.2">
      <c r="I245" s="9"/>
      <c r="L245" s="9"/>
      <c r="O245" s="9"/>
      <c r="R245" s="9"/>
      <c r="S245"/>
      <c r="T245"/>
      <c r="U245"/>
      <c r="V245"/>
      <c r="W245"/>
      <c r="X245"/>
      <c r="Y245"/>
      <c r="Z245"/>
      <c r="AA245"/>
      <c r="AB245"/>
      <c r="AC245"/>
      <c r="AD245"/>
      <c r="AE245"/>
      <c r="AF245"/>
      <c r="AG245"/>
      <c r="AH245"/>
      <c r="AI245"/>
      <c r="AJ245" s="9"/>
      <c r="AM245" s="9"/>
      <c r="AN245" s="9"/>
    </row>
    <row r="246" spans="9:40" x14ac:dyDescent="0.2">
      <c r="I246" s="9"/>
      <c r="L246" s="9"/>
      <c r="O246" s="9"/>
      <c r="R246" s="9"/>
      <c r="S246"/>
      <c r="T246"/>
      <c r="U246"/>
      <c r="V246"/>
      <c r="W246"/>
      <c r="X246"/>
      <c r="Y246"/>
      <c r="Z246"/>
      <c r="AA246"/>
      <c r="AB246"/>
      <c r="AC246"/>
      <c r="AD246"/>
      <c r="AE246"/>
      <c r="AF246"/>
      <c r="AG246"/>
      <c r="AH246"/>
      <c r="AI246"/>
      <c r="AJ246" s="9"/>
      <c r="AM246" s="9"/>
      <c r="AN246" s="9"/>
    </row>
    <row r="247" spans="9:40" x14ac:dyDescent="0.2">
      <c r="I247" s="9"/>
      <c r="L247" s="9"/>
      <c r="O247" s="9"/>
      <c r="R247" s="9"/>
      <c r="S247"/>
      <c r="T247"/>
      <c r="U247"/>
      <c r="V247"/>
      <c r="W247"/>
      <c r="X247"/>
      <c r="Y247"/>
      <c r="Z247"/>
      <c r="AA247"/>
      <c r="AB247"/>
      <c r="AC247"/>
      <c r="AD247"/>
      <c r="AE247"/>
      <c r="AF247"/>
      <c r="AG247"/>
      <c r="AH247"/>
      <c r="AI247"/>
      <c r="AJ247" s="9"/>
      <c r="AM247" s="9"/>
      <c r="AN247" s="9"/>
    </row>
    <row r="248" spans="9:40" x14ac:dyDescent="0.2">
      <c r="I248" s="9"/>
      <c r="L248" s="9"/>
      <c r="O248" s="9"/>
      <c r="R248" s="9"/>
      <c r="S248"/>
      <c r="T248"/>
      <c r="U248"/>
      <c r="V248"/>
      <c r="W248"/>
      <c r="X248"/>
      <c r="Y248"/>
      <c r="Z248"/>
      <c r="AA248"/>
      <c r="AB248"/>
      <c r="AC248"/>
      <c r="AD248"/>
      <c r="AE248"/>
      <c r="AF248"/>
      <c r="AG248"/>
      <c r="AH248"/>
      <c r="AI248"/>
      <c r="AJ248" s="9"/>
      <c r="AM248" s="9"/>
      <c r="AN248" s="9"/>
    </row>
    <row r="249" spans="9:40" x14ac:dyDescent="0.2">
      <c r="I249" s="9"/>
      <c r="L249" s="9"/>
      <c r="O249" s="9"/>
      <c r="R249" s="9"/>
      <c r="S249"/>
      <c r="T249"/>
      <c r="U249"/>
      <c r="V249"/>
      <c r="W249"/>
      <c r="X249"/>
      <c r="Y249"/>
      <c r="Z249"/>
      <c r="AA249"/>
      <c r="AB249"/>
      <c r="AC249"/>
      <c r="AD249"/>
      <c r="AE249"/>
      <c r="AF249"/>
      <c r="AG249"/>
      <c r="AH249"/>
      <c r="AI249"/>
      <c r="AJ249" s="9"/>
      <c r="AM249" s="9"/>
      <c r="AN249" s="9"/>
    </row>
    <row r="250" spans="9:40" x14ac:dyDescent="0.2">
      <c r="I250" s="9"/>
      <c r="L250" s="9"/>
      <c r="O250" s="9"/>
      <c r="R250" s="9"/>
      <c r="S250"/>
      <c r="T250"/>
      <c r="U250"/>
      <c r="V250"/>
      <c r="W250"/>
      <c r="X250"/>
      <c r="Y250"/>
      <c r="Z250"/>
      <c r="AA250"/>
      <c r="AB250"/>
      <c r="AC250"/>
      <c r="AD250"/>
      <c r="AE250"/>
      <c r="AF250"/>
      <c r="AG250"/>
      <c r="AH250"/>
      <c r="AI250"/>
      <c r="AJ250" s="9"/>
      <c r="AM250" s="9"/>
      <c r="AN250" s="9"/>
    </row>
    <row r="251" spans="9:40" x14ac:dyDescent="0.2">
      <c r="I251" s="9"/>
      <c r="L251" s="9"/>
      <c r="O251" s="9"/>
      <c r="R251" s="9"/>
      <c r="S251"/>
      <c r="T251"/>
      <c r="U251"/>
      <c r="V251"/>
      <c r="W251"/>
      <c r="X251"/>
      <c r="Y251"/>
      <c r="Z251"/>
      <c r="AA251"/>
      <c r="AB251"/>
      <c r="AC251"/>
      <c r="AD251"/>
      <c r="AE251"/>
      <c r="AF251"/>
      <c r="AG251"/>
      <c r="AH251"/>
      <c r="AI251"/>
      <c r="AJ251" s="9"/>
      <c r="AM251" s="9"/>
      <c r="AN251" s="9"/>
    </row>
    <row r="252" spans="9:40" x14ac:dyDescent="0.2">
      <c r="I252" s="9"/>
      <c r="L252" s="9"/>
      <c r="O252" s="9"/>
      <c r="R252" s="9"/>
      <c r="S252"/>
      <c r="T252"/>
      <c r="U252"/>
      <c r="V252"/>
      <c r="W252"/>
      <c r="X252"/>
      <c r="Y252"/>
      <c r="Z252"/>
      <c r="AA252"/>
      <c r="AB252"/>
      <c r="AC252"/>
      <c r="AD252"/>
      <c r="AE252"/>
      <c r="AF252"/>
      <c r="AG252"/>
      <c r="AH252"/>
      <c r="AI252"/>
      <c r="AJ252" s="9"/>
      <c r="AM252" s="9"/>
      <c r="AN252" s="9"/>
    </row>
    <row r="253" spans="9:40" x14ac:dyDescent="0.2">
      <c r="I253" s="9"/>
      <c r="L253" s="9"/>
      <c r="O253" s="9"/>
      <c r="R253" s="9"/>
      <c r="S253"/>
      <c r="T253"/>
      <c r="U253"/>
      <c r="V253"/>
      <c r="W253"/>
      <c r="X253"/>
      <c r="Y253"/>
      <c r="Z253"/>
      <c r="AA253"/>
      <c r="AB253"/>
      <c r="AC253"/>
      <c r="AD253"/>
      <c r="AE253"/>
      <c r="AF253"/>
      <c r="AG253"/>
      <c r="AH253"/>
      <c r="AI253"/>
      <c r="AJ253" s="9"/>
      <c r="AM253" s="9"/>
      <c r="AN253" s="9"/>
    </row>
    <row r="254" spans="9:40" x14ac:dyDescent="0.2">
      <c r="I254" s="9"/>
      <c r="L254" s="9"/>
      <c r="O254" s="9"/>
      <c r="R254" s="9"/>
      <c r="S254"/>
      <c r="T254"/>
      <c r="U254"/>
      <c r="V254"/>
      <c r="W254"/>
      <c r="X254"/>
      <c r="Y254"/>
      <c r="Z254"/>
      <c r="AA254"/>
      <c r="AB254"/>
      <c r="AC254"/>
      <c r="AD254"/>
      <c r="AE254"/>
      <c r="AF254"/>
      <c r="AG254"/>
      <c r="AH254"/>
      <c r="AI254"/>
      <c r="AJ254" s="9"/>
      <c r="AM254" s="9"/>
      <c r="AN254" s="9"/>
    </row>
    <row r="255" spans="9:40" x14ac:dyDescent="0.2">
      <c r="I255" s="9"/>
      <c r="L255" s="9"/>
      <c r="O255" s="9"/>
      <c r="R255" s="9"/>
      <c r="S255"/>
      <c r="T255"/>
      <c r="U255"/>
      <c r="V255"/>
      <c r="W255"/>
      <c r="X255"/>
      <c r="Y255"/>
      <c r="Z255"/>
      <c r="AA255"/>
      <c r="AB255"/>
      <c r="AC255"/>
      <c r="AD255"/>
      <c r="AE255"/>
      <c r="AF255"/>
      <c r="AG255"/>
      <c r="AH255"/>
      <c r="AI255"/>
      <c r="AJ255" s="9"/>
      <c r="AM255" s="9"/>
      <c r="AN255" s="9"/>
    </row>
    <row r="256" spans="9:40" x14ac:dyDescent="0.2">
      <c r="I256" s="9"/>
      <c r="L256" s="9"/>
      <c r="O256" s="9"/>
      <c r="R256" s="9"/>
      <c r="S256"/>
      <c r="T256"/>
      <c r="U256"/>
      <c r="V256"/>
      <c r="W256"/>
      <c r="X256"/>
      <c r="Y256"/>
      <c r="Z256"/>
      <c r="AA256"/>
      <c r="AB256"/>
      <c r="AC256"/>
      <c r="AD256"/>
      <c r="AE256"/>
      <c r="AF256"/>
      <c r="AG256"/>
      <c r="AH256"/>
      <c r="AI256"/>
      <c r="AJ256" s="9"/>
      <c r="AM256" s="9"/>
      <c r="AN256" s="9"/>
    </row>
    <row r="257" spans="9:40" x14ac:dyDescent="0.2">
      <c r="I257" s="9"/>
      <c r="L257" s="9"/>
      <c r="O257" s="9"/>
      <c r="R257" s="9"/>
      <c r="S257"/>
      <c r="T257"/>
      <c r="U257"/>
      <c r="V257"/>
      <c r="W257"/>
      <c r="X257"/>
      <c r="Y257"/>
      <c r="Z257"/>
      <c r="AA257"/>
      <c r="AB257"/>
      <c r="AC257"/>
      <c r="AD257"/>
      <c r="AE257"/>
      <c r="AF257"/>
      <c r="AG257"/>
      <c r="AH257"/>
      <c r="AI257"/>
      <c r="AJ257" s="9"/>
      <c r="AM257" s="9"/>
      <c r="AN257" s="9"/>
    </row>
    <row r="258" spans="9:40" x14ac:dyDescent="0.2">
      <c r="I258" s="9"/>
      <c r="L258" s="9"/>
      <c r="O258" s="9"/>
      <c r="R258" s="9"/>
      <c r="S258"/>
      <c r="T258"/>
      <c r="U258"/>
      <c r="V258"/>
      <c r="W258"/>
      <c r="X258"/>
      <c r="Y258"/>
      <c r="Z258"/>
      <c r="AA258"/>
      <c r="AB258"/>
      <c r="AC258"/>
      <c r="AD258"/>
      <c r="AE258"/>
      <c r="AF258"/>
      <c r="AG258"/>
      <c r="AH258"/>
      <c r="AI258"/>
      <c r="AJ258" s="9"/>
      <c r="AM258" s="9"/>
      <c r="AN258" s="9"/>
    </row>
    <row r="259" spans="9:40" x14ac:dyDescent="0.2">
      <c r="I259" s="9"/>
      <c r="L259" s="9"/>
      <c r="O259" s="9"/>
      <c r="R259" s="9"/>
      <c r="S259"/>
      <c r="T259"/>
      <c r="U259"/>
      <c r="V259"/>
      <c r="W259"/>
      <c r="X259"/>
      <c r="Y259"/>
      <c r="Z259"/>
      <c r="AA259"/>
      <c r="AB259"/>
      <c r="AC259"/>
      <c r="AD259"/>
      <c r="AE259"/>
      <c r="AF259"/>
      <c r="AG259"/>
      <c r="AH259"/>
      <c r="AI259"/>
      <c r="AJ259" s="9"/>
      <c r="AM259" s="9"/>
      <c r="AN259" s="9"/>
    </row>
    <row r="260" spans="9:40" x14ac:dyDescent="0.2">
      <c r="I260" s="9"/>
      <c r="L260" s="9"/>
      <c r="O260" s="9"/>
      <c r="R260" s="9"/>
      <c r="S260"/>
      <c r="T260"/>
      <c r="U260"/>
      <c r="V260"/>
      <c r="W260"/>
      <c r="X260"/>
      <c r="Y260"/>
      <c r="Z260"/>
      <c r="AA260"/>
      <c r="AB260"/>
      <c r="AC260"/>
      <c r="AD260"/>
      <c r="AE260"/>
      <c r="AF260"/>
      <c r="AG260"/>
      <c r="AH260"/>
      <c r="AI260"/>
      <c r="AJ260" s="9"/>
      <c r="AM260" s="9"/>
      <c r="AN260" s="9"/>
    </row>
    <row r="261" spans="9:40" x14ac:dyDescent="0.2">
      <c r="I261" s="9"/>
      <c r="L261" s="9"/>
      <c r="O261" s="9"/>
      <c r="R261" s="9"/>
      <c r="S261"/>
      <c r="T261"/>
      <c r="U261"/>
      <c r="V261"/>
      <c r="W261"/>
      <c r="X261"/>
      <c r="Y261"/>
      <c r="Z261"/>
      <c r="AA261"/>
      <c r="AB261"/>
      <c r="AC261"/>
      <c r="AD261"/>
      <c r="AE261"/>
      <c r="AF261"/>
      <c r="AG261"/>
      <c r="AH261"/>
      <c r="AI261"/>
      <c r="AJ261" s="9"/>
      <c r="AM261" s="9"/>
      <c r="AN261" s="9"/>
    </row>
    <row r="262" spans="9:40" x14ac:dyDescent="0.2">
      <c r="I262" s="9"/>
      <c r="L262" s="9"/>
      <c r="O262" s="9"/>
      <c r="R262" s="9"/>
      <c r="S262"/>
      <c r="T262"/>
      <c r="U262"/>
      <c r="V262"/>
      <c r="W262"/>
      <c r="X262"/>
      <c r="Y262"/>
      <c r="Z262"/>
      <c r="AA262"/>
      <c r="AB262"/>
      <c r="AC262"/>
      <c r="AD262"/>
      <c r="AE262"/>
      <c r="AF262"/>
      <c r="AG262"/>
      <c r="AH262"/>
      <c r="AI262"/>
      <c r="AJ262" s="9"/>
      <c r="AM262" s="9"/>
      <c r="AN262" s="9"/>
    </row>
    <row r="263" spans="9:40" x14ac:dyDescent="0.2">
      <c r="I263" s="9"/>
      <c r="L263" s="9"/>
      <c r="O263" s="9"/>
      <c r="R263" s="9"/>
      <c r="S263"/>
      <c r="T263"/>
      <c r="U263"/>
      <c r="V263"/>
      <c r="W263"/>
      <c r="X263"/>
      <c r="Y263"/>
      <c r="Z263"/>
      <c r="AA263"/>
      <c r="AB263"/>
      <c r="AC263"/>
      <c r="AD263"/>
      <c r="AE263"/>
      <c r="AF263"/>
      <c r="AG263"/>
      <c r="AH263"/>
      <c r="AI263"/>
      <c r="AJ263" s="9"/>
      <c r="AM263" s="9"/>
      <c r="AN263" s="9"/>
    </row>
    <row r="264" spans="9:40" x14ac:dyDescent="0.2">
      <c r="I264" s="9"/>
      <c r="L264" s="9"/>
      <c r="O264" s="9"/>
      <c r="R264" s="9"/>
      <c r="S264"/>
      <c r="T264"/>
      <c r="U264"/>
      <c r="V264"/>
      <c r="W264"/>
      <c r="X264"/>
      <c r="Y264"/>
      <c r="Z264"/>
      <c r="AA264"/>
      <c r="AB264"/>
      <c r="AC264"/>
      <c r="AD264"/>
      <c r="AE264"/>
      <c r="AF264"/>
      <c r="AG264"/>
      <c r="AH264"/>
      <c r="AI264"/>
      <c r="AJ264" s="9"/>
      <c r="AM264" s="9"/>
      <c r="AN264" s="9"/>
    </row>
    <row r="265" spans="9:40" x14ac:dyDescent="0.2">
      <c r="I265" s="9"/>
      <c r="L265" s="9"/>
      <c r="O265" s="9"/>
      <c r="R265" s="9"/>
      <c r="S265"/>
      <c r="T265"/>
      <c r="U265"/>
      <c r="V265"/>
      <c r="W265"/>
      <c r="X265"/>
      <c r="Y265"/>
      <c r="Z265"/>
      <c r="AA265"/>
      <c r="AB265"/>
      <c r="AC265"/>
      <c r="AD265"/>
      <c r="AE265"/>
      <c r="AF265"/>
      <c r="AG265"/>
      <c r="AH265"/>
      <c r="AI265"/>
      <c r="AJ265" s="9"/>
      <c r="AM265" s="9"/>
      <c r="AN265" s="9"/>
    </row>
    <row r="266" spans="9:40" x14ac:dyDescent="0.2">
      <c r="I266" s="9"/>
      <c r="L266" s="9"/>
      <c r="O266" s="9"/>
      <c r="R266" s="9"/>
      <c r="S266"/>
      <c r="T266"/>
      <c r="U266"/>
      <c r="V266"/>
      <c r="W266"/>
      <c r="X266"/>
      <c r="Y266"/>
      <c r="Z266"/>
      <c r="AA266"/>
      <c r="AB266"/>
      <c r="AC266"/>
      <c r="AD266"/>
      <c r="AE266"/>
      <c r="AF266"/>
      <c r="AG266"/>
      <c r="AH266"/>
      <c r="AI266"/>
      <c r="AJ266" s="9"/>
      <c r="AM266" s="9"/>
      <c r="AN266" s="9"/>
    </row>
    <row r="267" spans="9:40" x14ac:dyDescent="0.2">
      <c r="I267" s="9"/>
      <c r="L267" s="9"/>
      <c r="O267" s="9"/>
      <c r="R267" s="9"/>
      <c r="S267"/>
      <c r="T267"/>
      <c r="U267"/>
      <c r="V267"/>
      <c r="W267"/>
      <c r="X267"/>
      <c r="Y267"/>
      <c r="Z267"/>
      <c r="AA267"/>
      <c r="AB267"/>
      <c r="AC267"/>
      <c r="AD267"/>
      <c r="AE267"/>
      <c r="AF267"/>
      <c r="AG267"/>
      <c r="AH267"/>
      <c r="AI267"/>
      <c r="AJ267" s="9"/>
      <c r="AM267" s="9"/>
      <c r="AN267" s="9"/>
    </row>
    <row r="268" spans="9:40" x14ac:dyDescent="0.2">
      <c r="I268" s="9"/>
      <c r="L268" s="9"/>
      <c r="O268" s="9"/>
      <c r="R268" s="9"/>
      <c r="S268"/>
      <c r="T268"/>
      <c r="U268"/>
      <c r="V268"/>
      <c r="W268"/>
      <c r="X268"/>
      <c r="Y268"/>
      <c r="Z268"/>
      <c r="AA268"/>
      <c r="AB268"/>
      <c r="AC268"/>
      <c r="AD268"/>
      <c r="AE268"/>
      <c r="AF268"/>
      <c r="AG268"/>
      <c r="AH268"/>
      <c r="AI268"/>
      <c r="AJ268" s="9"/>
      <c r="AM268" s="9"/>
      <c r="AN268" s="9"/>
    </row>
    <row r="269" spans="9:40" x14ac:dyDescent="0.2">
      <c r="I269" s="9"/>
      <c r="L269" s="9"/>
      <c r="O269" s="9"/>
      <c r="R269" s="9"/>
      <c r="S269"/>
      <c r="T269"/>
      <c r="U269"/>
      <c r="V269"/>
      <c r="W269"/>
      <c r="X269"/>
      <c r="Y269"/>
      <c r="Z269"/>
      <c r="AA269"/>
      <c r="AB269"/>
      <c r="AC269"/>
      <c r="AD269"/>
      <c r="AE269"/>
      <c r="AF269"/>
      <c r="AG269"/>
      <c r="AH269"/>
      <c r="AI269"/>
      <c r="AJ269" s="9"/>
      <c r="AM269" s="9"/>
      <c r="AN269" s="9"/>
    </row>
    <row r="270" spans="9:40" x14ac:dyDescent="0.2">
      <c r="I270" s="9"/>
      <c r="L270" s="9"/>
      <c r="O270" s="9"/>
      <c r="R270" s="9"/>
      <c r="S270"/>
      <c r="T270"/>
      <c r="U270"/>
      <c r="V270"/>
      <c r="W270"/>
      <c r="X270"/>
      <c r="Y270"/>
      <c r="Z270"/>
      <c r="AA270"/>
      <c r="AB270"/>
      <c r="AC270"/>
      <c r="AD270"/>
      <c r="AE270"/>
      <c r="AF270"/>
      <c r="AG270"/>
      <c r="AH270"/>
      <c r="AI270"/>
      <c r="AJ270" s="9"/>
      <c r="AM270" s="9"/>
      <c r="AN270" s="9"/>
    </row>
    <row r="271" spans="9:40" x14ac:dyDescent="0.2">
      <c r="I271" s="9"/>
      <c r="L271" s="9"/>
      <c r="O271" s="9"/>
      <c r="R271" s="9"/>
      <c r="S271"/>
      <c r="T271"/>
      <c r="U271"/>
      <c r="V271"/>
      <c r="W271"/>
      <c r="X271"/>
      <c r="Y271"/>
      <c r="Z271"/>
      <c r="AA271"/>
      <c r="AB271"/>
      <c r="AC271"/>
      <c r="AD271"/>
      <c r="AE271"/>
      <c r="AF271"/>
      <c r="AG271"/>
      <c r="AH271"/>
      <c r="AI271"/>
      <c r="AJ271" s="9"/>
      <c r="AM271" s="9"/>
      <c r="AN271" s="9"/>
    </row>
    <row r="272" spans="9:40" x14ac:dyDescent="0.2">
      <c r="I272" s="9"/>
      <c r="L272" s="9"/>
      <c r="O272" s="9"/>
      <c r="R272" s="9"/>
      <c r="S272"/>
      <c r="T272"/>
      <c r="U272"/>
      <c r="V272"/>
      <c r="W272"/>
      <c r="X272"/>
      <c r="Y272"/>
      <c r="Z272"/>
      <c r="AA272"/>
      <c r="AB272"/>
      <c r="AC272"/>
      <c r="AD272"/>
      <c r="AE272"/>
      <c r="AF272"/>
      <c r="AG272"/>
      <c r="AH272"/>
      <c r="AI272"/>
      <c r="AJ272" s="9"/>
      <c r="AM272" s="9"/>
      <c r="AN272" s="9"/>
    </row>
    <row r="273" spans="9:40" x14ac:dyDescent="0.2">
      <c r="I273" s="9"/>
      <c r="L273" s="9"/>
      <c r="O273" s="9"/>
      <c r="R273" s="9"/>
      <c r="S273"/>
      <c r="T273"/>
      <c r="U273"/>
      <c r="V273"/>
      <c r="W273"/>
      <c r="X273"/>
      <c r="Y273"/>
      <c r="Z273"/>
      <c r="AA273"/>
      <c r="AB273"/>
      <c r="AC273"/>
      <c r="AD273"/>
      <c r="AE273"/>
      <c r="AF273"/>
      <c r="AG273"/>
      <c r="AH273"/>
      <c r="AI273"/>
      <c r="AJ273" s="9"/>
      <c r="AM273" s="9"/>
      <c r="AN273" s="9"/>
    </row>
    <row r="274" spans="9:40" x14ac:dyDescent="0.2">
      <c r="I274" s="9"/>
      <c r="L274" s="9"/>
      <c r="O274" s="9"/>
      <c r="R274" s="9"/>
      <c r="S274"/>
      <c r="T274"/>
      <c r="U274"/>
      <c r="V274"/>
      <c r="W274"/>
      <c r="X274"/>
      <c r="Y274"/>
      <c r="Z274"/>
      <c r="AA274"/>
      <c r="AB274"/>
      <c r="AC274"/>
      <c r="AD274"/>
      <c r="AE274"/>
      <c r="AF274"/>
      <c r="AG274"/>
      <c r="AH274"/>
      <c r="AI274"/>
      <c r="AJ274" s="9"/>
      <c r="AM274" s="9"/>
      <c r="AN274" s="9"/>
    </row>
    <row r="275" spans="9:40" x14ac:dyDescent="0.2">
      <c r="I275" s="9"/>
      <c r="L275" s="9"/>
      <c r="O275" s="9"/>
      <c r="R275" s="9"/>
      <c r="S275"/>
      <c r="T275"/>
      <c r="U275"/>
      <c r="V275"/>
      <c r="W275"/>
      <c r="X275"/>
      <c r="Y275"/>
      <c r="Z275"/>
      <c r="AA275"/>
      <c r="AB275"/>
      <c r="AC275"/>
      <c r="AD275"/>
      <c r="AE275"/>
      <c r="AF275"/>
      <c r="AG275"/>
      <c r="AH275"/>
      <c r="AI275"/>
      <c r="AJ275" s="9"/>
      <c r="AM275" s="9"/>
      <c r="AN275" s="9"/>
    </row>
    <row r="276" spans="9:40" x14ac:dyDescent="0.2">
      <c r="I276" s="9"/>
      <c r="L276" s="9"/>
      <c r="O276" s="9"/>
      <c r="R276" s="9"/>
      <c r="S276"/>
      <c r="T276"/>
      <c r="U276"/>
      <c r="V276"/>
      <c r="W276"/>
      <c r="X276"/>
      <c r="Y276"/>
      <c r="Z276"/>
      <c r="AA276"/>
      <c r="AB276"/>
      <c r="AC276"/>
      <c r="AD276"/>
      <c r="AE276"/>
      <c r="AF276"/>
      <c r="AG276"/>
      <c r="AH276"/>
      <c r="AI276"/>
      <c r="AJ276" s="9"/>
      <c r="AM276" s="9"/>
      <c r="AN276" s="9"/>
    </row>
    <row r="277" spans="9:40" x14ac:dyDescent="0.2">
      <c r="I277" s="9"/>
      <c r="L277" s="9"/>
      <c r="O277" s="9"/>
      <c r="R277" s="9"/>
      <c r="S277"/>
      <c r="T277"/>
      <c r="U277"/>
      <c r="V277"/>
      <c r="W277"/>
      <c r="X277"/>
      <c r="Y277"/>
      <c r="Z277"/>
      <c r="AA277"/>
      <c r="AB277"/>
      <c r="AC277"/>
      <c r="AD277"/>
      <c r="AE277"/>
      <c r="AF277"/>
      <c r="AG277"/>
      <c r="AH277"/>
      <c r="AI277"/>
      <c r="AJ277" s="9"/>
      <c r="AM277" s="9"/>
      <c r="AN277" s="9"/>
    </row>
    <row r="278" spans="9:40" x14ac:dyDescent="0.2">
      <c r="I278" s="9"/>
      <c r="L278" s="9"/>
      <c r="O278" s="9"/>
      <c r="R278" s="9"/>
      <c r="S278"/>
      <c r="T278"/>
      <c r="U278"/>
      <c r="V278"/>
      <c r="W278"/>
      <c r="X278"/>
      <c r="Y278"/>
      <c r="Z278"/>
      <c r="AA278"/>
      <c r="AB278"/>
      <c r="AC278"/>
      <c r="AD278"/>
      <c r="AE278"/>
      <c r="AF278"/>
      <c r="AG278"/>
      <c r="AH278"/>
      <c r="AI278"/>
      <c r="AJ278" s="9"/>
      <c r="AM278" s="9"/>
      <c r="AN278" s="9"/>
    </row>
    <row r="279" spans="9:40" x14ac:dyDescent="0.2">
      <c r="I279" s="9"/>
      <c r="L279" s="9"/>
      <c r="O279" s="9"/>
      <c r="R279" s="9"/>
      <c r="S279"/>
      <c r="T279"/>
      <c r="U279"/>
      <c r="V279"/>
      <c r="W279"/>
      <c r="X279"/>
      <c r="Y279"/>
      <c r="Z279"/>
      <c r="AA279"/>
      <c r="AB279"/>
      <c r="AC279"/>
      <c r="AD279"/>
      <c r="AE279"/>
      <c r="AF279"/>
      <c r="AG279"/>
      <c r="AH279"/>
      <c r="AI279"/>
      <c r="AJ279" s="9"/>
      <c r="AM279" s="9"/>
      <c r="AN279" s="9"/>
    </row>
    <row r="280" spans="9:40" x14ac:dyDescent="0.2">
      <c r="I280" s="9"/>
      <c r="L280" s="9"/>
      <c r="O280" s="9"/>
      <c r="R280" s="9"/>
      <c r="S280"/>
      <c r="T280"/>
      <c r="U280"/>
      <c r="V280"/>
      <c r="W280"/>
      <c r="X280"/>
      <c r="Y280"/>
      <c r="Z280"/>
      <c r="AA280"/>
      <c r="AB280"/>
      <c r="AC280"/>
      <c r="AD280"/>
      <c r="AE280"/>
      <c r="AF280"/>
      <c r="AG280"/>
      <c r="AH280"/>
      <c r="AI280"/>
      <c r="AJ280" s="9"/>
      <c r="AM280" s="9"/>
      <c r="AN280" s="9"/>
    </row>
    <row r="281" spans="9:40" x14ac:dyDescent="0.2">
      <c r="I281" s="9"/>
      <c r="L281" s="9"/>
      <c r="O281" s="9"/>
      <c r="R281" s="9"/>
      <c r="S281"/>
      <c r="T281"/>
      <c r="U281"/>
      <c r="V281"/>
      <c r="W281"/>
      <c r="X281"/>
      <c r="Y281"/>
      <c r="Z281"/>
      <c r="AA281"/>
      <c r="AB281"/>
      <c r="AC281"/>
      <c r="AD281"/>
      <c r="AE281"/>
      <c r="AF281"/>
      <c r="AG281"/>
      <c r="AH281"/>
      <c r="AI281"/>
      <c r="AJ281" s="9"/>
      <c r="AM281" s="9"/>
      <c r="AN281" s="9"/>
    </row>
    <row r="282" spans="9:40" x14ac:dyDescent="0.2">
      <c r="I282" s="9"/>
      <c r="L282" s="9"/>
      <c r="O282" s="9"/>
      <c r="R282" s="9"/>
      <c r="S282"/>
      <c r="T282"/>
      <c r="U282"/>
      <c r="V282"/>
      <c r="W282"/>
      <c r="X282"/>
      <c r="Y282"/>
      <c r="Z282"/>
      <c r="AA282"/>
      <c r="AB282"/>
      <c r="AC282"/>
      <c r="AD282"/>
      <c r="AE282"/>
      <c r="AF282"/>
      <c r="AG282"/>
      <c r="AH282"/>
      <c r="AI282"/>
      <c r="AJ282" s="9"/>
      <c r="AM282" s="9"/>
      <c r="AN282" s="9"/>
    </row>
    <row r="283" spans="9:40" x14ac:dyDescent="0.2">
      <c r="I283" s="9"/>
      <c r="L283" s="9"/>
      <c r="O283" s="9"/>
      <c r="R283" s="9"/>
      <c r="S283"/>
      <c r="T283"/>
      <c r="U283"/>
      <c r="V283"/>
      <c r="W283"/>
      <c r="X283"/>
      <c r="Y283"/>
      <c r="Z283"/>
      <c r="AA283"/>
      <c r="AB283"/>
      <c r="AC283"/>
      <c r="AD283"/>
      <c r="AE283"/>
      <c r="AF283"/>
      <c r="AG283"/>
      <c r="AH283"/>
      <c r="AI283"/>
      <c r="AJ283" s="9"/>
      <c r="AM283" s="9"/>
      <c r="AN283" s="9"/>
    </row>
    <row r="284" spans="9:40" x14ac:dyDescent="0.2">
      <c r="I284" s="9"/>
      <c r="L284" s="9"/>
      <c r="O284" s="9"/>
      <c r="R284" s="9"/>
      <c r="S284"/>
      <c r="T284"/>
      <c r="U284"/>
      <c r="V284"/>
      <c r="W284"/>
      <c r="X284"/>
      <c r="Y284"/>
      <c r="Z284"/>
      <c r="AA284"/>
      <c r="AB284"/>
      <c r="AC284"/>
      <c r="AD284"/>
      <c r="AE284"/>
      <c r="AF284"/>
      <c r="AG284"/>
      <c r="AH284"/>
      <c r="AI284"/>
      <c r="AJ284" s="9"/>
      <c r="AM284" s="9"/>
      <c r="AN284" s="9"/>
    </row>
    <row r="285" spans="9:40" x14ac:dyDescent="0.2">
      <c r="I285" s="9"/>
      <c r="L285" s="9"/>
      <c r="O285" s="9"/>
      <c r="R285" s="9"/>
      <c r="S285"/>
      <c r="T285"/>
      <c r="U285"/>
      <c r="V285"/>
      <c r="W285"/>
      <c r="X285"/>
      <c r="Y285"/>
      <c r="Z285"/>
      <c r="AA285"/>
      <c r="AB285"/>
      <c r="AC285"/>
      <c r="AD285"/>
      <c r="AE285"/>
      <c r="AF285"/>
      <c r="AG285"/>
      <c r="AH285"/>
      <c r="AI285"/>
      <c r="AJ285" s="9"/>
      <c r="AM285" s="9"/>
      <c r="AN285" s="9"/>
    </row>
    <row r="286" spans="9:40" x14ac:dyDescent="0.2">
      <c r="I286" s="9"/>
      <c r="L286" s="9"/>
      <c r="O286" s="9"/>
      <c r="R286" s="9"/>
      <c r="S286"/>
      <c r="T286"/>
      <c r="U286"/>
      <c r="V286"/>
      <c r="W286"/>
      <c r="X286"/>
      <c r="Y286"/>
      <c r="Z286"/>
      <c r="AA286"/>
      <c r="AB286"/>
      <c r="AC286"/>
      <c r="AD286"/>
      <c r="AE286"/>
      <c r="AF286"/>
      <c r="AG286"/>
      <c r="AH286"/>
      <c r="AI286"/>
      <c r="AJ286" s="9"/>
      <c r="AM286" s="9"/>
      <c r="AN286" s="9"/>
    </row>
    <row r="287" spans="9:40" x14ac:dyDescent="0.2">
      <c r="I287" s="9"/>
      <c r="L287" s="9"/>
      <c r="O287" s="9"/>
      <c r="R287" s="9"/>
      <c r="S287"/>
      <c r="T287"/>
      <c r="U287"/>
      <c r="V287"/>
      <c r="W287"/>
      <c r="X287"/>
      <c r="Y287"/>
      <c r="Z287"/>
      <c r="AA287"/>
      <c r="AB287"/>
      <c r="AC287"/>
      <c r="AD287"/>
      <c r="AE287"/>
      <c r="AF287"/>
      <c r="AG287"/>
      <c r="AH287"/>
      <c r="AI287"/>
      <c r="AJ287" s="9"/>
      <c r="AM287" s="9"/>
      <c r="AN287" s="9"/>
    </row>
    <row r="288" spans="9:40" x14ac:dyDescent="0.2">
      <c r="I288" s="9"/>
      <c r="L288" s="9"/>
      <c r="O288" s="9"/>
      <c r="R288" s="9"/>
      <c r="S288"/>
      <c r="T288"/>
      <c r="U288"/>
      <c r="V288"/>
      <c r="W288"/>
      <c r="X288"/>
      <c r="Y288"/>
      <c r="Z288"/>
      <c r="AA288"/>
      <c r="AB288"/>
      <c r="AC288"/>
      <c r="AD288"/>
      <c r="AE288"/>
      <c r="AF288"/>
      <c r="AG288"/>
      <c r="AH288"/>
      <c r="AI288"/>
      <c r="AJ288" s="9"/>
      <c r="AM288" s="9"/>
      <c r="AN288" s="9"/>
    </row>
    <row r="289" spans="9:40" x14ac:dyDescent="0.2">
      <c r="I289" s="9"/>
      <c r="L289" s="9"/>
      <c r="O289" s="9"/>
      <c r="R289" s="9"/>
      <c r="S289"/>
      <c r="T289"/>
      <c r="U289"/>
      <c r="V289"/>
      <c r="W289"/>
      <c r="X289"/>
      <c r="Y289"/>
      <c r="Z289"/>
      <c r="AA289"/>
      <c r="AB289"/>
      <c r="AC289"/>
      <c r="AD289"/>
      <c r="AE289"/>
      <c r="AF289"/>
      <c r="AG289"/>
      <c r="AH289"/>
      <c r="AI289"/>
      <c r="AJ289" s="9"/>
      <c r="AM289" s="9"/>
      <c r="AN289" s="9"/>
    </row>
    <row r="290" spans="9:40" x14ac:dyDescent="0.2">
      <c r="I290" s="9"/>
      <c r="L290" s="9"/>
      <c r="O290" s="9"/>
      <c r="R290" s="9"/>
      <c r="S290"/>
      <c r="T290"/>
      <c r="U290"/>
      <c r="V290"/>
      <c r="W290"/>
      <c r="X290"/>
      <c r="Y290"/>
      <c r="Z290"/>
      <c r="AA290"/>
      <c r="AB290"/>
      <c r="AC290"/>
      <c r="AD290"/>
      <c r="AE290"/>
      <c r="AF290"/>
      <c r="AG290"/>
      <c r="AH290"/>
      <c r="AI290"/>
      <c r="AJ290" s="9"/>
      <c r="AM290" s="9"/>
      <c r="AN290" s="9"/>
    </row>
    <row r="291" spans="9:40" x14ac:dyDescent="0.2">
      <c r="I291" s="9"/>
      <c r="L291" s="9"/>
      <c r="O291" s="9"/>
      <c r="R291" s="9"/>
      <c r="S291"/>
      <c r="T291"/>
      <c r="U291"/>
      <c r="V291"/>
      <c r="W291"/>
      <c r="X291"/>
      <c r="Y291"/>
      <c r="Z291"/>
      <c r="AA291"/>
      <c r="AB291"/>
      <c r="AC291"/>
      <c r="AD291"/>
      <c r="AE291"/>
      <c r="AF291"/>
      <c r="AG291"/>
      <c r="AH291"/>
      <c r="AI291"/>
      <c r="AJ291" s="9"/>
      <c r="AM291" s="9"/>
      <c r="AN291" s="9"/>
    </row>
    <row r="292" spans="9:40" x14ac:dyDescent="0.2">
      <c r="I292" s="9"/>
      <c r="L292" s="9"/>
      <c r="O292" s="9"/>
      <c r="R292" s="9"/>
      <c r="S292"/>
      <c r="T292"/>
      <c r="U292"/>
      <c r="V292"/>
      <c r="W292"/>
      <c r="X292"/>
      <c r="Y292"/>
      <c r="Z292"/>
      <c r="AA292"/>
      <c r="AB292"/>
      <c r="AC292"/>
      <c r="AD292"/>
      <c r="AE292"/>
      <c r="AF292"/>
      <c r="AG292"/>
      <c r="AH292"/>
      <c r="AI292"/>
      <c r="AJ292" s="9"/>
      <c r="AM292" s="9"/>
      <c r="AN292" s="9"/>
    </row>
    <row r="293" spans="9:40" x14ac:dyDescent="0.2">
      <c r="I293" s="9"/>
      <c r="L293" s="9"/>
      <c r="O293" s="9"/>
      <c r="R293" s="9"/>
      <c r="S293"/>
      <c r="T293"/>
      <c r="U293"/>
      <c r="V293"/>
      <c r="W293"/>
      <c r="X293"/>
      <c r="Y293"/>
      <c r="Z293"/>
      <c r="AA293"/>
      <c r="AB293"/>
      <c r="AC293"/>
      <c r="AD293"/>
      <c r="AE293"/>
      <c r="AF293"/>
      <c r="AG293"/>
      <c r="AH293"/>
      <c r="AI293"/>
      <c r="AJ293" s="9"/>
      <c r="AM293" s="9"/>
      <c r="AN293" s="9"/>
    </row>
    <row r="294" spans="9:40" x14ac:dyDescent="0.2">
      <c r="I294" s="9"/>
      <c r="L294" s="9"/>
      <c r="O294" s="9"/>
      <c r="R294" s="9"/>
      <c r="S294"/>
      <c r="T294"/>
      <c r="U294"/>
      <c r="V294"/>
      <c r="W294"/>
      <c r="X294"/>
      <c r="Y294"/>
      <c r="Z294"/>
      <c r="AA294"/>
      <c r="AB294"/>
      <c r="AC294"/>
      <c r="AD294"/>
      <c r="AE294"/>
      <c r="AF294"/>
      <c r="AG294"/>
      <c r="AH294"/>
      <c r="AI294"/>
      <c r="AJ294" s="9"/>
      <c r="AM294" s="9"/>
      <c r="AN294" s="9"/>
    </row>
    <row r="295" spans="9:40" x14ac:dyDescent="0.2">
      <c r="I295" s="9"/>
      <c r="L295" s="9"/>
      <c r="O295" s="9"/>
      <c r="R295" s="9"/>
      <c r="S295"/>
      <c r="T295"/>
      <c r="U295"/>
      <c r="V295"/>
      <c r="W295"/>
      <c r="X295"/>
      <c r="Y295"/>
      <c r="Z295"/>
      <c r="AA295"/>
      <c r="AB295"/>
      <c r="AC295"/>
      <c r="AD295"/>
      <c r="AE295"/>
      <c r="AF295"/>
      <c r="AG295"/>
      <c r="AH295"/>
      <c r="AI295"/>
      <c r="AJ295" s="9"/>
      <c r="AM295" s="9"/>
      <c r="AN295" s="9"/>
    </row>
    <row r="296" spans="9:40" x14ac:dyDescent="0.2">
      <c r="I296" s="9"/>
      <c r="L296" s="9"/>
      <c r="O296" s="9"/>
      <c r="R296" s="9"/>
      <c r="S296"/>
      <c r="T296"/>
      <c r="U296"/>
      <c r="V296"/>
      <c r="W296"/>
      <c r="X296"/>
      <c r="Y296"/>
      <c r="Z296"/>
      <c r="AA296"/>
      <c r="AB296"/>
      <c r="AC296"/>
      <c r="AD296"/>
      <c r="AE296"/>
      <c r="AF296"/>
      <c r="AG296"/>
      <c r="AH296"/>
      <c r="AI296"/>
      <c r="AJ296" s="9"/>
      <c r="AM296" s="9"/>
      <c r="AN296" s="9"/>
    </row>
    <row r="297" spans="9:40" x14ac:dyDescent="0.2">
      <c r="I297" s="9"/>
      <c r="L297" s="9"/>
      <c r="O297" s="9"/>
      <c r="R297" s="9"/>
      <c r="S297"/>
      <c r="T297"/>
      <c r="U297"/>
      <c r="V297"/>
      <c r="W297"/>
      <c r="X297"/>
      <c r="Y297"/>
      <c r="Z297"/>
      <c r="AA297"/>
      <c r="AB297"/>
      <c r="AC297"/>
      <c r="AD297"/>
      <c r="AE297"/>
      <c r="AF297"/>
      <c r="AG297"/>
      <c r="AH297"/>
      <c r="AI297"/>
      <c r="AJ297" s="9"/>
      <c r="AM297" s="9"/>
      <c r="AN297" s="9"/>
    </row>
    <row r="298" spans="9:40" x14ac:dyDescent="0.2">
      <c r="I298" s="9"/>
      <c r="L298" s="9"/>
      <c r="O298" s="9"/>
      <c r="R298" s="9"/>
      <c r="S298"/>
      <c r="T298"/>
      <c r="U298"/>
      <c r="V298"/>
      <c r="W298"/>
      <c r="X298"/>
      <c r="Y298"/>
      <c r="Z298"/>
      <c r="AA298"/>
      <c r="AB298"/>
      <c r="AC298"/>
      <c r="AD298"/>
      <c r="AE298"/>
      <c r="AF298"/>
      <c r="AG298"/>
      <c r="AH298"/>
      <c r="AI298"/>
      <c r="AJ298" s="9"/>
      <c r="AM298" s="9"/>
      <c r="AN298" s="9"/>
    </row>
    <row r="299" spans="9:40" x14ac:dyDescent="0.2">
      <c r="I299" s="9"/>
      <c r="L299" s="9"/>
      <c r="O299" s="9"/>
      <c r="R299" s="9"/>
      <c r="S299"/>
      <c r="T299"/>
      <c r="U299"/>
      <c r="V299"/>
      <c r="W299"/>
      <c r="X299"/>
      <c r="Y299"/>
      <c r="Z299"/>
      <c r="AA299"/>
      <c r="AB299"/>
      <c r="AC299"/>
      <c r="AD299"/>
      <c r="AE299"/>
      <c r="AF299"/>
      <c r="AG299"/>
      <c r="AH299"/>
      <c r="AI299"/>
      <c r="AJ299" s="9"/>
      <c r="AM299" s="9"/>
      <c r="AN299" s="9"/>
    </row>
    <row r="300" spans="9:40" x14ac:dyDescent="0.2">
      <c r="I300" s="9"/>
      <c r="L300" s="9"/>
      <c r="O300" s="9"/>
      <c r="R300" s="9"/>
      <c r="S300"/>
      <c r="T300"/>
      <c r="U300"/>
      <c r="V300"/>
      <c r="W300"/>
      <c r="X300"/>
      <c r="Y300"/>
      <c r="Z300"/>
      <c r="AA300"/>
      <c r="AB300"/>
      <c r="AC300"/>
      <c r="AD300"/>
      <c r="AE300"/>
      <c r="AF300"/>
      <c r="AG300"/>
      <c r="AH300"/>
      <c r="AI300"/>
      <c r="AJ300" s="9"/>
      <c r="AM300" s="9"/>
      <c r="AN300" s="9"/>
    </row>
    <row r="301" spans="9:40" x14ac:dyDescent="0.2">
      <c r="I301" s="9"/>
      <c r="L301" s="9"/>
      <c r="O301" s="9"/>
      <c r="R301" s="9"/>
      <c r="S301"/>
      <c r="T301"/>
      <c r="U301"/>
      <c r="V301"/>
      <c r="W301"/>
      <c r="X301"/>
      <c r="Y301"/>
      <c r="Z301"/>
      <c r="AA301"/>
      <c r="AB301"/>
      <c r="AC301"/>
      <c r="AD301"/>
      <c r="AE301"/>
      <c r="AF301"/>
      <c r="AG301"/>
      <c r="AH301"/>
      <c r="AI301"/>
      <c r="AJ301" s="9"/>
      <c r="AM301" s="9"/>
      <c r="AN301" s="9"/>
    </row>
    <row r="302" spans="9:40" x14ac:dyDescent="0.2">
      <c r="I302" s="9"/>
      <c r="L302" s="9"/>
      <c r="O302" s="9"/>
      <c r="R302" s="9"/>
      <c r="S302"/>
      <c r="T302"/>
      <c r="U302"/>
      <c r="V302"/>
      <c r="W302"/>
      <c r="X302"/>
      <c r="Y302"/>
      <c r="Z302"/>
      <c r="AA302"/>
      <c r="AB302"/>
      <c r="AC302"/>
      <c r="AD302"/>
      <c r="AE302"/>
      <c r="AF302"/>
      <c r="AG302"/>
      <c r="AH302"/>
      <c r="AI302"/>
      <c r="AJ302" s="9"/>
      <c r="AM302" s="9"/>
      <c r="AN302" s="9"/>
    </row>
    <row r="303" spans="9:40" x14ac:dyDescent="0.2">
      <c r="I303" s="9"/>
      <c r="L303" s="9"/>
      <c r="O303" s="9"/>
      <c r="R303" s="9"/>
      <c r="S303"/>
      <c r="T303"/>
      <c r="U303"/>
      <c r="V303"/>
      <c r="W303"/>
      <c r="X303"/>
      <c r="Y303"/>
      <c r="Z303"/>
      <c r="AA303"/>
      <c r="AB303"/>
      <c r="AC303"/>
      <c r="AD303"/>
      <c r="AE303"/>
      <c r="AF303"/>
      <c r="AG303"/>
      <c r="AH303"/>
      <c r="AI303"/>
      <c r="AJ303" s="9"/>
      <c r="AM303" s="9"/>
      <c r="AN303" s="9"/>
    </row>
    <row r="304" spans="9:40" x14ac:dyDescent="0.2">
      <c r="I304" s="9"/>
      <c r="L304" s="9"/>
      <c r="O304" s="9"/>
      <c r="R304" s="9"/>
      <c r="S304"/>
      <c r="T304"/>
      <c r="U304"/>
      <c r="V304"/>
      <c r="W304"/>
      <c r="X304"/>
      <c r="Y304"/>
      <c r="Z304"/>
      <c r="AA304"/>
      <c r="AB304"/>
      <c r="AC304"/>
      <c r="AD304"/>
      <c r="AE304"/>
      <c r="AF304"/>
      <c r="AG304"/>
      <c r="AH304"/>
      <c r="AI304"/>
      <c r="AJ304" s="9"/>
      <c r="AM304" s="9"/>
      <c r="AN304" s="9"/>
    </row>
    <row r="305" spans="9:40" x14ac:dyDescent="0.2">
      <c r="I305" s="9"/>
      <c r="L305" s="9"/>
      <c r="O305" s="9"/>
      <c r="R305" s="9"/>
      <c r="S305"/>
      <c r="T305"/>
      <c r="U305"/>
      <c r="V305"/>
      <c r="W305"/>
      <c r="X305"/>
      <c r="Y305"/>
      <c r="Z305"/>
      <c r="AA305"/>
      <c r="AB305"/>
      <c r="AC305"/>
      <c r="AD305"/>
      <c r="AE305"/>
      <c r="AF305"/>
      <c r="AG305"/>
      <c r="AH305"/>
      <c r="AI305"/>
      <c r="AJ305" s="9"/>
      <c r="AM305" s="9"/>
      <c r="AN305" s="9"/>
    </row>
    <row r="306" spans="9:40" x14ac:dyDescent="0.2">
      <c r="I306" s="9"/>
      <c r="L306" s="9"/>
      <c r="O306" s="9"/>
      <c r="R306" s="9"/>
      <c r="S306"/>
      <c r="T306"/>
      <c r="U306"/>
      <c r="V306"/>
      <c r="W306"/>
      <c r="X306"/>
      <c r="Y306"/>
      <c r="Z306"/>
      <c r="AA306"/>
      <c r="AB306"/>
      <c r="AC306"/>
      <c r="AD306"/>
      <c r="AE306"/>
      <c r="AF306"/>
      <c r="AG306"/>
      <c r="AH306"/>
      <c r="AI306"/>
      <c r="AJ306" s="9"/>
      <c r="AM306" s="9"/>
      <c r="AN306" s="9"/>
    </row>
    <row r="307" spans="9:40" x14ac:dyDescent="0.2">
      <c r="I307" s="9"/>
      <c r="L307" s="9"/>
      <c r="O307" s="9"/>
      <c r="R307" s="9"/>
      <c r="S307"/>
      <c r="T307"/>
      <c r="U307"/>
      <c r="V307"/>
      <c r="W307"/>
      <c r="X307"/>
      <c r="Y307"/>
      <c r="Z307"/>
      <c r="AA307"/>
      <c r="AB307"/>
      <c r="AC307"/>
      <c r="AD307"/>
      <c r="AE307"/>
      <c r="AF307"/>
      <c r="AG307"/>
      <c r="AH307"/>
      <c r="AI307"/>
      <c r="AJ307" s="9"/>
      <c r="AM307" s="9"/>
      <c r="AN307" s="9"/>
    </row>
    <row r="308" spans="9:40" x14ac:dyDescent="0.2">
      <c r="I308" s="9"/>
      <c r="L308" s="9"/>
      <c r="O308" s="9"/>
      <c r="R308" s="9"/>
      <c r="S308"/>
      <c r="T308"/>
      <c r="U308"/>
      <c r="V308"/>
      <c r="W308"/>
      <c r="X308"/>
      <c r="Y308"/>
      <c r="Z308"/>
      <c r="AA308"/>
      <c r="AB308"/>
      <c r="AC308"/>
      <c r="AD308"/>
      <c r="AE308"/>
      <c r="AF308"/>
      <c r="AG308"/>
      <c r="AH308"/>
      <c r="AI308"/>
      <c r="AJ308" s="9"/>
      <c r="AM308" s="9"/>
      <c r="AN308" s="9"/>
    </row>
    <row r="309" spans="9:40" x14ac:dyDescent="0.2">
      <c r="I309" s="9"/>
      <c r="L309" s="9"/>
      <c r="O309" s="9"/>
      <c r="R309" s="9"/>
      <c r="S309"/>
      <c r="T309"/>
      <c r="U309"/>
      <c r="V309"/>
      <c r="W309"/>
      <c r="X309"/>
      <c r="Y309"/>
      <c r="Z309"/>
      <c r="AA309"/>
      <c r="AB309"/>
      <c r="AC309"/>
      <c r="AD309"/>
      <c r="AE309"/>
      <c r="AF309"/>
      <c r="AG309"/>
      <c r="AH309"/>
      <c r="AI309"/>
      <c r="AJ309" s="9"/>
      <c r="AM309" s="9"/>
      <c r="AN309" s="9"/>
    </row>
    <row r="310" spans="9:40" x14ac:dyDescent="0.2">
      <c r="I310" s="9"/>
      <c r="L310" s="9"/>
      <c r="O310" s="9"/>
      <c r="R310" s="9"/>
      <c r="S310"/>
      <c r="T310"/>
      <c r="U310"/>
      <c r="V310"/>
      <c r="W310"/>
      <c r="X310"/>
      <c r="Y310"/>
      <c r="Z310"/>
      <c r="AA310"/>
      <c r="AB310"/>
      <c r="AC310"/>
      <c r="AD310"/>
      <c r="AE310"/>
      <c r="AF310"/>
      <c r="AG310"/>
      <c r="AH310"/>
      <c r="AI310"/>
      <c r="AJ310" s="9"/>
      <c r="AM310" s="9"/>
      <c r="AN310" s="9"/>
    </row>
    <row r="311" spans="9:40" x14ac:dyDescent="0.2">
      <c r="I311" s="9"/>
      <c r="L311" s="9"/>
      <c r="O311" s="9"/>
      <c r="R311" s="9"/>
      <c r="S311"/>
      <c r="T311"/>
      <c r="U311"/>
      <c r="V311"/>
      <c r="W311"/>
      <c r="X311"/>
      <c r="Y311"/>
      <c r="Z311"/>
      <c r="AA311"/>
      <c r="AB311"/>
      <c r="AC311"/>
      <c r="AD311"/>
      <c r="AE311"/>
      <c r="AF311"/>
      <c r="AG311"/>
      <c r="AH311"/>
      <c r="AI311"/>
      <c r="AJ311" s="9"/>
      <c r="AM311" s="9"/>
      <c r="AN311" s="9"/>
    </row>
    <row r="312" spans="9:40" x14ac:dyDescent="0.2">
      <c r="I312" s="9"/>
      <c r="L312" s="9"/>
      <c r="O312" s="9"/>
      <c r="R312" s="9"/>
      <c r="S312"/>
      <c r="T312"/>
      <c r="U312"/>
      <c r="V312"/>
      <c r="W312"/>
      <c r="X312"/>
      <c r="Y312"/>
      <c r="Z312"/>
      <c r="AA312"/>
      <c r="AB312"/>
      <c r="AC312"/>
      <c r="AD312"/>
      <c r="AE312"/>
      <c r="AF312"/>
      <c r="AG312"/>
      <c r="AH312"/>
      <c r="AI312"/>
      <c r="AJ312" s="9"/>
      <c r="AM312" s="9"/>
      <c r="AN312" s="9"/>
    </row>
    <row r="313" spans="9:40" x14ac:dyDescent="0.2">
      <c r="I313" s="9"/>
      <c r="L313" s="9"/>
      <c r="O313" s="9"/>
      <c r="R313" s="9"/>
      <c r="S313"/>
      <c r="T313"/>
      <c r="U313"/>
      <c r="V313"/>
      <c r="W313"/>
      <c r="X313"/>
      <c r="Y313"/>
      <c r="Z313"/>
      <c r="AA313"/>
      <c r="AB313"/>
      <c r="AC313"/>
      <c r="AD313"/>
      <c r="AE313"/>
      <c r="AF313"/>
      <c r="AG313"/>
      <c r="AH313"/>
      <c r="AI313"/>
      <c r="AJ313" s="9"/>
      <c r="AM313" s="9"/>
      <c r="AN313" s="9"/>
    </row>
    <row r="314" spans="9:40" x14ac:dyDescent="0.2">
      <c r="I314" s="9"/>
      <c r="L314" s="9"/>
      <c r="O314" s="9"/>
      <c r="R314" s="9"/>
      <c r="S314"/>
      <c r="T314"/>
      <c r="U314"/>
      <c r="V314"/>
      <c r="W314"/>
      <c r="X314"/>
      <c r="Y314"/>
      <c r="Z314"/>
      <c r="AA314"/>
      <c r="AB314"/>
      <c r="AC314"/>
      <c r="AD314"/>
      <c r="AE314"/>
      <c r="AF314"/>
      <c r="AG314"/>
      <c r="AH314"/>
      <c r="AI314"/>
      <c r="AJ314" s="9"/>
      <c r="AM314" s="9"/>
      <c r="AN314" s="9"/>
    </row>
    <row r="315" spans="9:40" x14ac:dyDescent="0.2">
      <c r="I315" s="9"/>
      <c r="L315" s="9"/>
      <c r="O315" s="9"/>
      <c r="R315" s="9"/>
      <c r="S315"/>
      <c r="T315"/>
      <c r="U315"/>
      <c r="V315"/>
      <c r="W315"/>
      <c r="X315"/>
      <c r="Y315"/>
      <c r="Z315"/>
      <c r="AA315"/>
      <c r="AB315"/>
      <c r="AC315"/>
      <c r="AD315"/>
      <c r="AE315"/>
      <c r="AF315"/>
      <c r="AG315"/>
      <c r="AH315"/>
      <c r="AI315"/>
      <c r="AJ315" s="9"/>
      <c r="AM315" s="9"/>
      <c r="AN315" s="9"/>
    </row>
    <row r="316" spans="9:40" x14ac:dyDescent="0.2">
      <c r="I316" s="9"/>
      <c r="L316" s="9"/>
      <c r="O316" s="9"/>
      <c r="R316" s="9"/>
      <c r="S316"/>
      <c r="T316"/>
      <c r="U316"/>
      <c r="V316"/>
      <c r="W316"/>
      <c r="X316"/>
      <c r="Y316"/>
      <c r="Z316"/>
      <c r="AA316"/>
      <c r="AB316"/>
      <c r="AC316"/>
      <c r="AD316"/>
      <c r="AE316"/>
      <c r="AF316"/>
      <c r="AG316"/>
      <c r="AH316"/>
      <c r="AI316"/>
      <c r="AJ316" s="9"/>
      <c r="AM316" s="9"/>
      <c r="AN316" s="9"/>
    </row>
    <row r="317" spans="9:40" x14ac:dyDescent="0.2">
      <c r="I317" s="9"/>
      <c r="L317" s="9"/>
      <c r="O317" s="9"/>
      <c r="R317" s="9"/>
      <c r="S317"/>
      <c r="T317"/>
      <c r="U317"/>
      <c r="V317"/>
      <c r="W317"/>
      <c r="X317"/>
      <c r="Y317"/>
      <c r="Z317"/>
      <c r="AA317"/>
      <c r="AB317"/>
      <c r="AC317"/>
      <c r="AD317"/>
      <c r="AE317"/>
      <c r="AF317"/>
      <c r="AG317"/>
      <c r="AH317"/>
      <c r="AI317"/>
      <c r="AJ317" s="9"/>
      <c r="AM317" s="9"/>
      <c r="AN317" s="9"/>
    </row>
    <row r="318" spans="9:40" s="9" customFormat="1" x14ac:dyDescent="0.2"/>
    <row r="319" spans="9:40" s="9" customFormat="1" x14ac:dyDescent="0.2"/>
    <row r="320" spans="9:40" s="9" customFormat="1" x14ac:dyDescent="0.2"/>
    <row r="321" s="9" customFormat="1" x14ac:dyDescent="0.2"/>
    <row r="322" s="9" customFormat="1" x14ac:dyDescent="0.2"/>
    <row r="323" s="9" customFormat="1" x14ac:dyDescent="0.2"/>
    <row r="324" s="9" customFormat="1" x14ac:dyDescent="0.2"/>
    <row r="325" s="9" customFormat="1" x14ac:dyDescent="0.2"/>
    <row r="326" s="9" customFormat="1" x14ac:dyDescent="0.2"/>
    <row r="327" s="9" customFormat="1" x14ac:dyDescent="0.2"/>
    <row r="328" s="9" customFormat="1" x14ac:dyDescent="0.2"/>
    <row r="329" s="9" customFormat="1" x14ac:dyDescent="0.2"/>
    <row r="330" s="9" customFormat="1" x14ac:dyDescent="0.2"/>
    <row r="331" s="9" customFormat="1" x14ac:dyDescent="0.2"/>
    <row r="332" s="9" customFormat="1" x14ac:dyDescent="0.2"/>
    <row r="333" s="9" customFormat="1" x14ac:dyDescent="0.2"/>
    <row r="334" s="9" customFormat="1" x14ac:dyDescent="0.2"/>
    <row r="335" s="9" customFormat="1" x14ac:dyDescent="0.2"/>
    <row r="336" s="9" customFormat="1" x14ac:dyDescent="0.2"/>
    <row r="337" s="9" customFormat="1" x14ac:dyDescent="0.2"/>
    <row r="338" s="9" customFormat="1" x14ac:dyDescent="0.2"/>
    <row r="339" s="9" customFormat="1" x14ac:dyDescent="0.2"/>
    <row r="340" s="9" customFormat="1" x14ac:dyDescent="0.2"/>
    <row r="341" s="9" customFormat="1" x14ac:dyDescent="0.2"/>
    <row r="342" s="9" customFormat="1" x14ac:dyDescent="0.2"/>
    <row r="343" s="9" customFormat="1" x14ac:dyDescent="0.2"/>
    <row r="344" s="9" customFormat="1" x14ac:dyDescent="0.2"/>
    <row r="345" s="9" customFormat="1" x14ac:dyDescent="0.2"/>
    <row r="346" s="9" customFormat="1" x14ac:dyDescent="0.2"/>
    <row r="347" s="9" customFormat="1" x14ac:dyDescent="0.2"/>
    <row r="348" s="9" customFormat="1" x14ac:dyDescent="0.2"/>
    <row r="349" s="9" customFormat="1" x14ac:dyDescent="0.2"/>
    <row r="350" s="9" customFormat="1" x14ac:dyDescent="0.2"/>
    <row r="351" s="9" customFormat="1" x14ac:dyDescent="0.2"/>
    <row r="352" s="9" customFormat="1" x14ac:dyDescent="0.2"/>
    <row r="353" s="9" customFormat="1" x14ac:dyDescent="0.2"/>
    <row r="354" s="9" customFormat="1" x14ac:dyDescent="0.2"/>
    <row r="355" s="9" customFormat="1" x14ac:dyDescent="0.2"/>
    <row r="356" s="9" customFormat="1" x14ac:dyDescent="0.2"/>
    <row r="357" s="9" customFormat="1" x14ac:dyDescent="0.2"/>
    <row r="358" s="9" customFormat="1" x14ac:dyDescent="0.2"/>
    <row r="359" s="9" customFormat="1" x14ac:dyDescent="0.2"/>
    <row r="360" s="9" customFormat="1" x14ac:dyDescent="0.2"/>
    <row r="361" s="9" customFormat="1" x14ac:dyDescent="0.2"/>
    <row r="362" s="9" customFormat="1" x14ac:dyDescent="0.2"/>
    <row r="363" s="9" customFormat="1" x14ac:dyDescent="0.2"/>
    <row r="364" s="9" customFormat="1" x14ac:dyDescent="0.2"/>
    <row r="365" s="9" customFormat="1" x14ac:dyDescent="0.2"/>
    <row r="366" s="9" customFormat="1" x14ac:dyDescent="0.2"/>
    <row r="367" s="9" customFormat="1" x14ac:dyDescent="0.2"/>
    <row r="368" s="9" customFormat="1" x14ac:dyDescent="0.2"/>
    <row r="369" s="9" customFormat="1" x14ac:dyDescent="0.2"/>
    <row r="370" s="9" customFormat="1" x14ac:dyDescent="0.2"/>
    <row r="371" s="9" customFormat="1" x14ac:dyDescent="0.2"/>
    <row r="372" s="9" customFormat="1" x14ac:dyDescent="0.2"/>
    <row r="373" s="9" customFormat="1" x14ac:dyDescent="0.2"/>
    <row r="374" s="9" customFormat="1" x14ac:dyDescent="0.2"/>
    <row r="375" s="9" customFormat="1" x14ac:dyDescent="0.2"/>
    <row r="376" s="9" customFormat="1" x14ac:dyDescent="0.2"/>
    <row r="377" s="9" customFormat="1" x14ac:dyDescent="0.2"/>
    <row r="378" s="9" customFormat="1" x14ac:dyDescent="0.2"/>
    <row r="379" s="9" customFormat="1" x14ac:dyDescent="0.2"/>
    <row r="380" s="9" customFormat="1" x14ac:dyDescent="0.2"/>
    <row r="381" s="9" customFormat="1" x14ac:dyDescent="0.2"/>
    <row r="382" s="9" customFormat="1" x14ac:dyDescent="0.2"/>
    <row r="383" s="9" customFormat="1" x14ac:dyDescent="0.2"/>
    <row r="384" s="9" customFormat="1" x14ac:dyDescent="0.2"/>
    <row r="385" s="9" customFormat="1" x14ac:dyDescent="0.2"/>
    <row r="386" s="9" customFormat="1" x14ac:dyDescent="0.2"/>
    <row r="387" s="9" customFormat="1" x14ac:dyDescent="0.2"/>
    <row r="388" s="9" customFormat="1" x14ac:dyDescent="0.2"/>
    <row r="389" s="9" customFormat="1" x14ac:dyDescent="0.2"/>
    <row r="390" s="9" customFormat="1" x14ac:dyDescent="0.2"/>
    <row r="391" s="9" customFormat="1" x14ac:dyDescent="0.2"/>
    <row r="392" s="9" customFormat="1" x14ac:dyDescent="0.2"/>
    <row r="393" s="9" customFormat="1" x14ac:dyDescent="0.2"/>
    <row r="394" s="9" customFormat="1" x14ac:dyDescent="0.2"/>
    <row r="395" s="9" customFormat="1" x14ac:dyDescent="0.2"/>
    <row r="396" s="9" customFormat="1" x14ac:dyDescent="0.2"/>
    <row r="397" s="9" customFormat="1" x14ac:dyDescent="0.2"/>
    <row r="398" s="9" customFormat="1" x14ac:dyDescent="0.2"/>
    <row r="399" s="9" customFormat="1" x14ac:dyDescent="0.2"/>
    <row r="400" s="9" customFormat="1" x14ac:dyDescent="0.2"/>
    <row r="401" s="9" customFormat="1" x14ac:dyDescent="0.2"/>
    <row r="402" s="9" customFormat="1" x14ac:dyDescent="0.2"/>
    <row r="403" s="9" customFormat="1" x14ac:dyDescent="0.2"/>
    <row r="404" s="9" customFormat="1" x14ac:dyDescent="0.2"/>
    <row r="405" s="9" customFormat="1" x14ac:dyDescent="0.2"/>
    <row r="406" s="9" customFormat="1" x14ac:dyDescent="0.2"/>
    <row r="407" s="9" customFormat="1" x14ac:dyDescent="0.2"/>
    <row r="408" s="9" customFormat="1" x14ac:dyDescent="0.2"/>
    <row r="409" s="9" customFormat="1" x14ac:dyDescent="0.2"/>
    <row r="410" s="9" customFormat="1" x14ac:dyDescent="0.2"/>
    <row r="411" s="9" customFormat="1" x14ac:dyDescent="0.2"/>
    <row r="412" s="9" customFormat="1" x14ac:dyDescent="0.2"/>
    <row r="413" s="9" customFormat="1" x14ac:dyDescent="0.2"/>
    <row r="414" s="9" customFormat="1" x14ac:dyDescent="0.2"/>
    <row r="415" s="9" customFormat="1" x14ac:dyDescent="0.2"/>
    <row r="416" s="9" customFormat="1" x14ac:dyDescent="0.2"/>
    <row r="417" s="9" customFormat="1" x14ac:dyDescent="0.2"/>
    <row r="418" s="9" customFormat="1" x14ac:dyDescent="0.2"/>
    <row r="419" s="9" customFormat="1" x14ac:dyDescent="0.2"/>
    <row r="420" s="9" customFormat="1" x14ac:dyDescent="0.2"/>
    <row r="421" s="9" customFormat="1" x14ac:dyDescent="0.2"/>
    <row r="422" s="9" customFormat="1" x14ac:dyDescent="0.2"/>
    <row r="423" s="9" customFormat="1" x14ac:dyDescent="0.2"/>
    <row r="424" s="9" customFormat="1" x14ac:dyDescent="0.2"/>
    <row r="425" s="9" customFormat="1" x14ac:dyDescent="0.2"/>
    <row r="426" s="9" customFormat="1" x14ac:dyDescent="0.2"/>
    <row r="427" s="9" customFormat="1" x14ac:dyDescent="0.2"/>
    <row r="428" s="9" customFormat="1" x14ac:dyDescent="0.2"/>
    <row r="429" s="9" customFormat="1" x14ac:dyDescent="0.2"/>
    <row r="430" s="9" customFormat="1" x14ac:dyDescent="0.2"/>
    <row r="431" s="9" customFormat="1" x14ac:dyDescent="0.2"/>
    <row r="432" s="9" customFormat="1" x14ac:dyDescent="0.2"/>
    <row r="433" s="9" customFormat="1" x14ac:dyDescent="0.2"/>
    <row r="434" s="9" customFormat="1" x14ac:dyDescent="0.2"/>
    <row r="435" s="9" customFormat="1" x14ac:dyDescent="0.2"/>
    <row r="436" s="9" customFormat="1" x14ac:dyDescent="0.2"/>
    <row r="437" s="9" customFormat="1" x14ac:dyDescent="0.2"/>
    <row r="438" s="9" customFormat="1" x14ac:dyDescent="0.2"/>
    <row r="439" s="9" customFormat="1" x14ac:dyDescent="0.2"/>
    <row r="440" s="9" customFormat="1" x14ac:dyDescent="0.2"/>
    <row r="441" s="9" customFormat="1" x14ac:dyDescent="0.2"/>
    <row r="442" s="9" customFormat="1" x14ac:dyDescent="0.2"/>
    <row r="443" s="9" customFormat="1" x14ac:dyDescent="0.2"/>
    <row r="444" s="9" customFormat="1" x14ac:dyDescent="0.2"/>
    <row r="445" s="9" customFormat="1" x14ac:dyDescent="0.2"/>
    <row r="446" s="9" customFormat="1" x14ac:dyDescent="0.2"/>
    <row r="447" s="9" customFormat="1" x14ac:dyDescent="0.2"/>
    <row r="448" s="9" customFormat="1" x14ac:dyDescent="0.2"/>
    <row r="449" s="9" customFormat="1" x14ac:dyDescent="0.2"/>
    <row r="450" s="9" customFormat="1" x14ac:dyDescent="0.2"/>
    <row r="451" s="9" customFormat="1" x14ac:dyDescent="0.2"/>
    <row r="452" s="9" customFormat="1" x14ac:dyDescent="0.2"/>
    <row r="453" s="9" customFormat="1" x14ac:dyDescent="0.2"/>
    <row r="454" s="9" customFormat="1" x14ac:dyDescent="0.2"/>
    <row r="455" s="9" customFormat="1" x14ac:dyDescent="0.2"/>
    <row r="456" s="9" customFormat="1" x14ac:dyDescent="0.2"/>
    <row r="457" s="9" customFormat="1" x14ac:dyDescent="0.2"/>
    <row r="458" s="9" customFormat="1" x14ac:dyDescent="0.2"/>
    <row r="459" s="9" customFormat="1" x14ac:dyDescent="0.2"/>
    <row r="460" s="9" customFormat="1" x14ac:dyDescent="0.2"/>
    <row r="461" s="9" customFormat="1" x14ac:dyDescent="0.2"/>
    <row r="462" s="9" customFormat="1" x14ac:dyDescent="0.2"/>
    <row r="463" s="9" customFormat="1" x14ac:dyDescent="0.2"/>
    <row r="464" s="9" customFormat="1" x14ac:dyDescent="0.2"/>
    <row r="465" s="9" customFormat="1" x14ac:dyDescent="0.2"/>
    <row r="466" s="9" customFormat="1" x14ac:dyDescent="0.2"/>
    <row r="467" s="9" customFormat="1" x14ac:dyDescent="0.2"/>
    <row r="468" s="9" customFormat="1" x14ac:dyDescent="0.2"/>
    <row r="469" s="9" customFormat="1" x14ac:dyDescent="0.2"/>
    <row r="470" s="9" customFormat="1" x14ac:dyDescent="0.2"/>
    <row r="471" s="9" customFormat="1" x14ac:dyDescent="0.2"/>
    <row r="472" s="9" customFormat="1" x14ac:dyDescent="0.2"/>
    <row r="473" s="9" customFormat="1" x14ac:dyDescent="0.2"/>
    <row r="474" s="9" customFormat="1" x14ac:dyDescent="0.2"/>
    <row r="475" s="9" customFormat="1" x14ac:dyDescent="0.2"/>
    <row r="476" s="9" customFormat="1" x14ac:dyDescent="0.2"/>
    <row r="477" s="9" customFormat="1" x14ac:dyDescent="0.2"/>
    <row r="478" s="9" customFormat="1" x14ac:dyDescent="0.2"/>
    <row r="479" s="9" customFormat="1" x14ac:dyDescent="0.2"/>
    <row r="480" s="9" customFormat="1" x14ac:dyDescent="0.2"/>
    <row r="481" s="9" customFormat="1" x14ac:dyDescent="0.2"/>
    <row r="482" s="9" customFormat="1" x14ac:dyDescent="0.2"/>
    <row r="483" s="9" customFormat="1" x14ac:dyDescent="0.2"/>
    <row r="484" s="9" customFormat="1" x14ac:dyDescent="0.2"/>
    <row r="485" s="9" customFormat="1" x14ac:dyDescent="0.2"/>
    <row r="486" s="9" customFormat="1" x14ac:dyDescent="0.2"/>
    <row r="487" s="9" customFormat="1" x14ac:dyDescent="0.2"/>
    <row r="488" s="9" customFormat="1" x14ac:dyDescent="0.2"/>
    <row r="489" s="9" customFormat="1" x14ac:dyDescent="0.2"/>
    <row r="490" s="9" customFormat="1" x14ac:dyDescent="0.2"/>
    <row r="491" s="9" customFormat="1" x14ac:dyDescent="0.2"/>
    <row r="492" s="9" customFormat="1" x14ac:dyDescent="0.2"/>
    <row r="493" s="9" customFormat="1" x14ac:dyDescent="0.2"/>
    <row r="494" s="9" customFormat="1" x14ac:dyDescent="0.2"/>
    <row r="495" s="9" customFormat="1" x14ac:dyDescent="0.2"/>
    <row r="496" s="9" customFormat="1" x14ac:dyDescent="0.2"/>
    <row r="497" s="9" customFormat="1" x14ac:dyDescent="0.2"/>
    <row r="498" s="9" customFormat="1" x14ac:dyDescent="0.2"/>
    <row r="499" s="9" customFormat="1" x14ac:dyDescent="0.2"/>
    <row r="500" s="9" customFormat="1" x14ac:dyDescent="0.2"/>
    <row r="501" s="9" customFormat="1" x14ac:dyDescent="0.2"/>
    <row r="502" s="9" customFormat="1" x14ac:dyDescent="0.2"/>
    <row r="503" s="9" customFormat="1" x14ac:dyDescent="0.2"/>
    <row r="504" s="9" customFormat="1" x14ac:dyDescent="0.2"/>
    <row r="505" s="9" customFormat="1" x14ac:dyDescent="0.2"/>
    <row r="506" s="9" customFormat="1" x14ac:dyDescent="0.2"/>
    <row r="507" s="9" customFormat="1" x14ac:dyDescent="0.2"/>
  </sheetData>
  <mergeCells count="8">
    <mergeCell ref="A1:B1"/>
    <mergeCell ref="D1:H1"/>
    <mergeCell ref="J1:K1"/>
    <mergeCell ref="AO1:AR1"/>
    <mergeCell ref="M1:N1"/>
    <mergeCell ref="P1:Q1"/>
    <mergeCell ref="S1:AA1"/>
    <mergeCell ref="AK1:AM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9C98-4389-43AC-BA52-230E7F83F2AA}">
  <dimension ref="A1:AA47"/>
  <sheetViews>
    <sheetView tabSelected="1" topLeftCell="B16" zoomScale="70" zoomScaleNormal="70" workbookViewId="0">
      <selection activeCell="X40" sqref="X40"/>
    </sheetView>
  </sheetViews>
  <sheetFormatPr defaultColWidth="10.5703125" defaultRowHeight="12.75" x14ac:dyDescent="0.2"/>
  <cols>
    <col min="1" max="16384" width="10.5703125" style="16"/>
  </cols>
  <sheetData>
    <row r="1" spans="1:1" x14ac:dyDescent="0.2">
      <c r="A1" s="15"/>
    </row>
    <row r="47" spans="27:27" x14ac:dyDescent="0.2">
      <c r="AA47"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Employee_Data</vt:lpstr>
      <vt:lpstr>Pivot_Tables</vt:lpstr>
      <vt:lpstr>Dashboard</vt:lpstr>
      <vt:lpstr>Employee_Data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Ehiremhen Ukpebor</cp:lastModifiedBy>
  <dcterms:created xsi:type="dcterms:W3CDTF">2025-05-23T10:24:14Z</dcterms:created>
  <dcterms:modified xsi:type="dcterms:W3CDTF">2026-07-18T19:07:30Z</dcterms:modified>
</cp:coreProperties>
</file>