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hire\Downloads\"/>
    </mc:Choice>
  </mc:AlternateContent>
  <xr:revisionPtr revIDLastSave="0" documentId="13_ncr:1_{D8AED958-13F2-4D5D-99C7-486E34662B9F}" xr6:coauthVersionLast="47" xr6:coauthVersionMax="47" xr10:uidLastSave="{00000000-0000-0000-0000-000000000000}"/>
  <bookViews>
    <workbookView xWindow="-120" yWindow="-120" windowWidth="20730" windowHeight="11760" activeTab="1" xr2:uid="{64A22DD9-775F-41E0-B6AA-503B3BE0F926}"/>
  </bookViews>
  <sheets>
    <sheet name="Pivot_Tables" sheetId="4" r:id="rId1"/>
    <sheet name="Dashboard" sheetId="5" r:id="rId2"/>
    <sheet name="Innovations_Department" sheetId="2" r:id="rId3"/>
    <sheet name="Data_Table" sheetId="1" r:id="rId4"/>
  </sheets>
  <definedNames>
    <definedName name="_xlcn.WorksheetConnection_innovationskpi.xlsxInnovations_Department" hidden="1">Innovations_Department[]</definedName>
    <definedName name="ExternalData_1" localSheetId="2" hidden="1">Innovations_Department!$A$1:$G$19</definedName>
    <definedName name="Slicer_QUARTE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novations_Department" name="Innovations_Department" connection="WorksheetConnection_innovations-kpi.xlsx!Innovations_Departme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3707E2-E4B8-419D-B139-ECDB192F07CF}" keepAlive="1" name="Query - Innovations_Department" description="Connection to the 'Innovations_Department' query in the workbook." type="5" refreshedVersion="8" background="1" saveData="1">
    <dbPr connection="Provider=Microsoft.Mashup.OleDb.1;Data Source=$Workbook$;Location=Innovations_Department;Extended Properties=&quot;&quot;" command="SELECT * FROM [Innovations_Department]"/>
  </connection>
  <connection id="2" xr16:uid="{87196EA7-207B-46B8-ABF3-0F4B466069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F74B5DE-B315-4197-BE87-5D54E9EBC6FC}" name="WorksheetConnection_innovations-kpi.xlsx!Innovations_Department" type="102" refreshedVersion="8" minRefreshableVersion="5">
    <extLst>
      <ext xmlns:x15="http://schemas.microsoft.com/office/spreadsheetml/2010/11/main" uri="{DE250136-89BD-433C-8126-D09CA5730AF9}">
        <x15:connection id="Innovations_Department" autoDelete="1">
          <x15:rangePr sourceName="_xlcn.WorksheetConnection_innovationskpi.xlsxInnovations_Department"/>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Innovations_Department].[QUARTER].[All]}"/>
  </metadataStrings>
  <mdxMetadata count="1">
    <mdx n="0" f="s">
      <ms ns="1" c="0"/>
    </mdx>
  </mdxMetadata>
  <valueMetadata count="1">
    <bk>
      <rc t="1" v="0"/>
    </bk>
  </valueMetadata>
</metadata>
</file>

<file path=xl/sharedStrings.xml><?xml version="1.0" encoding="utf-8"?>
<sst xmlns="http://schemas.openxmlformats.org/spreadsheetml/2006/main" count="161" uniqueCount="34">
  <si>
    <t>S/N</t>
  </si>
  <si>
    <t>QUARTER</t>
  </si>
  <si>
    <t>DATE</t>
  </si>
  <si>
    <t>PROTOTYPES DEVELOPED</t>
  </si>
  <si>
    <t>PROTOTYPES ADOPTED (%)</t>
  </si>
  <si>
    <t>SOLUTIONS COMMERCIALIZED</t>
  </si>
  <si>
    <t>EFFICIENCY GAINS</t>
  </si>
  <si>
    <t>COLLABORATION SCORE</t>
  </si>
  <si>
    <t>25% time saved</t>
  </si>
  <si>
    <t>$10,000 saved</t>
  </si>
  <si>
    <t>18% productivity</t>
  </si>
  <si>
    <t>40% faster response</t>
  </si>
  <si>
    <t>45% time saved</t>
  </si>
  <si>
    <t>$20,000 saved</t>
  </si>
  <si>
    <t>10% productivity</t>
  </si>
  <si>
    <t>20% faster response</t>
  </si>
  <si>
    <t>$15,000 saved</t>
  </si>
  <si>
    <t>60% faster response</t>
  </si>
  <si>
    <t>55% time saved</t>
  </si>
  <si>
    <t>$5,000 saved</t>
  </si>
  <si>
    <t>$50,000 saved</t>
  </si>
  <si>
    <t>Q1</t>
  </si>
  <si>
    <t>Q2</t>
  </si>
  <si>
    <t>Q3</t>
  </si>
  <si>
    <t>Q4</t>
  </si>
  <si>
    <t>Grand Total</t>
  </si>
  <si>
    <t>Sum of PROTOTYPES DEVELOPED</t>
  </si>
  <si>
    <t>Sum of SOLUTIONS COMMERCIALIZED</t>
  </si>
  <si>
    <t>Sum of COLLABORATION SCORE</t>
  </si>
  <si>
    <t>Count of EFFICIENCY GAINS</t>
  </si>
  <si>
    <t>PROTOTYPES ADOPTED</t>
  </si>
  <si>
    <t>Sum of PROTOTYPES ADOPTED</t>
  </si>
  <si>
    <t>All</t>
  </si>
  <si>
    <t>Percentage of Prototypes Adopted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</si>
</sst>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NG,1]dd/mm/yyyy;@"/>
    <numFmt numFmtId="165" formatCode="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64" fontId="0" fillId="0" borderId="0" xfId="0" applyNumberFormat="1"/>
    <xf numFmtId="0" fontId="1" fillId="0" borderId="2" xfId="0" applyFont="1" applyBorder="1" applyAlignment="1">
      <alignment horizontal="center" vertical="center" wrapText="1"/>
    </xf>
    <xf numFmtId="164" fontId="1" fillId="0" borderId="2" xfId="0" applyNumberFormat="1" applyFont="1" applyBorder="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1" xfId="1" applyNumberFormat="1" applyFont="1" applyBorder="1"/>
    <xf numFmtId="2" fontId="0" fillId="0" borderId="0" xfId="0" applyNumberFormat="1"/>
    <xf numFmtId="0" fontId="0" fillId="0" borderId="1" xfId="0" applyBorder="1"/>
    <xf numFmtId="164" fontId="0" fillId="0" borderId="1" xfId="0" applyNumberFormat="1" applyBorder="1"/>
    <xf numFmtId="1" fontId="0" fillId="0" borderId="1" xfId="0" applyNumberFormat="1" applyBorder="1"/>
    <xf numFmtId="165" fontId="0" fillId="0" borderId="1" xfId="0" applyNumberFormat="1" applyBorder="1"/>
    <xf numFmtId="0" fontId="0" fillId="0" borderId="3" xfId="0" applyBorder="1"/>
    <xf numFmtId="164" fontId="0" fillId="0" borderId="3" xfId="0" applyNumberFormat="1" applyBorder="1"/>
    <xf numFmtId="1" fontId="0" fillId="0" borderId="3" xfId="0" applyNumberFormat="1" applyBorder="1"/>
    <xf numFmtId="165" fontId="0" fillId="0" borderId="3" xfId="0" applyNumberFormat="1" applyBorder="1"/>
  </cellXfs>
  <cellStyles count="2">
    <cellStyle name="Normal" xfId="0" builtinId="0"/>
    <cellStyle name="Percent" xfId="1" builtinId="5"/>
  </cellStyles>
  <dxfs count="14">
    <dxf>
      <font>
        <strike val="0"/>
        <outline val="0"/>
        <shadow val="0"/>
        <u val="none"/>
        <vertAlign val="baseline"/>
        <sz val="11"/>
        <color theme="1"/>
        <name val="Aptos Narrow"/>
        <family val="2"/>
        <scheme val="minor"/>
      </font>
      <numFmt numFmtId="165" formatCode="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64" formatCode="[$]dd/mm/yyyy;@" x16r2:formatCode16="[$-en-NG,1]dd/mm/yyyy;@"/>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numFmt numFmtId="19" formatCode="dd/mm/yyyy"/>
    </dxf>
  </dxfs>
  <tableStyles count="0" defaultTableStyle="TableStyleMedium2" defaultPivotStyle="PivotStyleLight16"/>
  <colors>
    <mruColors>
      <color rgb="FFB630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[innovations-kpi.xlsx]Pivot_Tables!PivotTable5</c:name>
    <c:fmtId val="5"/>
  </c:pivotSource>
  <c:chart>
    <c:title>
      <c:tx>
        <c:rich>
          <a:bodyPr rot="0" spcFirstLastPara="1" vertOverflow="ellipsis" vert="horz" wrap="square" anchor="ctr" anchorCtr="1"/>
          <a:lstStyle/>
          <a:p>
            <a:pPr>
              <a:defRPr sz="1400" b="1" i="0" u="none" strike="noStrike" kern="1200" baseline="0">
                <a:solidFill>
                  <a:schemeClr val="accent1">
                    <a:lumMod val="50000"/>
                  </a:schemeClr>
                </a:solidFill>
                <a:effectLst/>
                <a:latin typeface="+mn-lt"/>
                <a:ea typeface="+mn-ea"/>
                <a:cs typeface="+mn-cs"/>
              </a:defRPr>
            </a:pPr>
            <a:r>
              <a:rPr lang="en-US" sz="1400" b="1">
                <a:solidFill>
                  <a:schemeClr val="accent1">
                    <a:lumMod val="50000"/>
                  </a:schemeClr>
                </a:solidFill>
              </a:rPr>
              <a:t>COUNT OF EFFICIENCY GAINS</a:t>
            </a:r>
          </a:p>
        </c:rich>
      </c:tx>
      <c:layout>
        <c:manualLayout>
          <c:xMode val="edge"/>
          <c:yMode val="edge"/>
          <c:x val="0.1991447689724668"/>
          <c:y val="1.913876559482881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29827192103227"/>
          <c:y val="0.16006387625808502"/>
          <c:w val="0.83081689981363449"/>
          <c:h val="0.36602763617658701"/>
        </c:manualLayout>
      </c:layout>
      <c:barChart>
        <c:barDir val="col"/>
        <c:grouping val="clustered"/>
        <c:varyColors val="0"/>
        <c:ser>
          <c:idx val="0"/>
          <c:order val="0"/>
          <c:tx>
            <c:strRef>
              <c:f>Pivot_Tables!$B$35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Pivot_Tables!$A$36:$A$49</c:f>
              <c:strCache>
                <c:ptCount val="13"/>
                <c:pt idx="0">
                  <c:v>$10,000 saved</c:v>
                </c:pt>
                <c:pt idx="1">
                  <c:v>$15,000 saved</c:v>
                </c:pt>
                <c:pt idx="2">
                  <c:v>$20,000 saved</c:v>
                </c:pt>
                <c:pt idx="3">
                  <c:v>$5,000 saved</c:v>
                </c:pt>
                <c:pt idx="4">
                  <c:v>$50,000 saved</c:v>
                </c:pt>
                <c:pt idx="5">
                  <c:v>10% productivity</c:v>
                </c:pt>
                <c:pt idx="6">
                  <c:v>18% productivity</c:v>
                </c:pt>
                <c:pt idx="7">
                  <c:v>20% faster response</c:v>
                </c:pt>
                <c:pt idx="8">
                  <c:v>25% time saved</c:v>
                </c:pt>
                <c:pt idx="9">
                  <c:v>40% faster response</c:v>
                </c:pt>
                <c:pt idx="10">
                  <c:v>45% time saved</c:v>
                </c:pt>
                <c:pt idx="11">
                  <c:v>55% time saved</c:v>
                </c:pt>
                <c:pt idx="12">
                  <c:v>60% faster response</c:v>
                </c:pt>
              </c:strCache>
            </c:strRef>
          </c:cat>
          <c:val>
            <c:numRef>
              <c:f>Pivot_Tables!$B$36:$B$49</c:f>
              <c:numCache>
                <c:formatCode>General</c:formatCode>
                <c:ptCount val="13"/>
                <c:pt idx="0">
                  <c:v>1</c:v>
                </c:pt>
                <c:pt idx="1">
                  <c:v>1</c:v>
                </c:pt>
                <c:pt idx="2">
                  <c:v>1</c:v>
                </c:pt>
                <c:pt idx="3">
                  <c:v>1</c:v>
                </c:pt>
                <c:pt idx="4">
                  <c:v>1</c:v>
                </c:pt>
                <c:pt idx="5">
                  <c:v>1</c:v>
                </c:pt>
                <c:pt idx="6">
                  <c:v>2</c:v>
                </c:pt>
                <c:pt idx="7">
                  <c:v>1</c:v>
                </c:pt>
                <c:pt idx="8">
                  <c:v>3</c:v>
                </c:pt>
                <c:pt idx="9">
                  <c:v>3</c:v>
                </c:pt>
                <c:pt idx="10">
                  <c:v>1</c:v>
                </c:pt>
                <c:pt idx="11">
                  <c:v>1</c:v>
                </c:pt>
                <c:pt idx="12">
                  <c:v>1</c:v>
                </c:pt>
              </c:numCache>
            </c:numRef>
          </c:val>
          <c:extLst>
            <c:ext xmlns:c16="http://schemas.microsoft.com/office/drawing/2014/chart" uri="{C3380CC4-5D6E-409C-BE32-E72D297353CC}">
              <c16:uniqueId val="{00000000-D946-4088-A2C1-B6748A246C1D}"/>
            </c:ext>
          </c:extLst>
        </c:ser>
        <c:dLbls>
          <c:dLblPos val="inEnd"/>
          <c:showLegendKey val="0"/>
          <c:showVal val="1"/>
          <c:showCatName val="0"/>
          <c:showSerName val="0"/>
          <c:showPercent val="0"/>
          <c:showBubbleSize val="0"/>
        </c:dLbls>
        <c:gapWidth val="41"/>
        <c:axId val="586977887"/>
        <c:axId val="586976447"/>
      </c:barChart>
      <c:catAx>
        <c:axId val="58697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effectLst/>
                <a:latin typeface="+mn-lt"/>
                <a:ea typeface="+mn-ea"/>
                <a:cs typeface="+mn-cs"/>
              </a:defRPr>
            </a:pPr>
            <a:endParaRPr lang="en-NG"/>
          </a:p>
        </c:txPr>
        <c:crossAx val="586976447"/>
        <c:crosses val="autoZero"/>
        <c:auto val="1"/>
        <c:lblAlgn val="ctr"/>
        <c:lblOffset val="100"/>
        <c:noMultiLvlLbl val="0"/>
      </c:catAx>
      <c:valAx>
        <c:axId val="586976447"/>
        <c:scaling>
          <c:orientation val="minMax"/>
        </c:scaling>
        <c:delete val="1"/>
        <c:axPos val="l"/>
        <c:numFmt formatCode="General" sourceLinked="1"/>
        <c:majorTickMark val="none"/>
        <c:minorTickMark val="none"/>
        <c:tickLblPos val="nextTo"/>
        <c:crossAx val="58697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tile tx="0" ty="0" sx="100000" sy="100000" flip="y" algn="tr"/>
    </a:blip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[innovations-kpi.xlsx]Pivot_Tables!PivotTable7</c:name>
    <c:fmtId val="6"/>
  </c:pivotSource>
  <c:chart>
    <c:title>
      <c:tx>
        <c:rich>
          <a:bodyPr rot="0" spcFirstLastPara="1" vertOverflow="ellipsis" vert="horz" wrap="square" anchor="ctr" anchorCtr="1"/>
          <a:lstStyle/>
          <a:p>
            <a:pPr>
              <a:defRPr sz="1100" b="1" i="0" u="none" strike="noStrike" kern="1200" spc="100" baseline="0">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accent1">
                    <a:lumMod val="50000"/>
                  </a:schemeClr>
                </a:solidFill>
              </a:rPr>
              <a:t>PROTOTYPES DEVELOPED AND COLLABORATION SCORE</a:t>
            </a:r>
          </a:p>
        </c:rich>
      </c:tx>
      <c:layout>
        <c:manualLayout>
          <c:xMode val="edge"/>
          <c:yMode val="edge"/>
          <c:x val="0.14724995168964841"/>
          <c:y val="2.7210884353741496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accent1">
                  <a:lumMod val="50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12700"/>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4.5833318296155418E-2"/>
          <c:y val="0.10757369614512471"/>
          <c:w val="0.90212864103391044"/>
          <c:h val="0.72808827467995085"/>
        </c:manualLayout>
      </c:layout>
      <c:barChart>
        <c:barDir val="col"/>
        <c:grouping val="clustered"/>
        <c:varyColors val="0"/>
        <c:ser>
          <c:idx val="0"/>
          <c:order val="0"/>
          <c:tx>
            <c:strRef>
              <c:f>Pivot_Tables!$E$36</c:f>
              <c:strCache>
                <c:ptCount val="1"/>
                <c:pt idx="0">
                  <c:v>PROTOTYPES DEVELOPED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Pivot_Tables!$D$37:$D$41</c:f>
              <c:strCache>
                <c:ptCount val="4"/>
                <c:pt idx="0">
                  <c:v>Q1</c:v>
                </c:pt>
                <c:pt idx="1">
                  <c:v>Q2</c:v>
                </c:pt>
                <c:pt idx="2">
                  <c:v>Q3</c:v>
                </c:pt>
                <c:pt idx="3">
                  <c:v>Q4</c:v>
                </c:pt>
              </c:strCache>
            </c:strRef>
          </c:cat>
          <c:val>
            <c:numRef>
              <c:f>Pivot_Tables!$E$37:$E$41</c:f>
              <c:numCache>
                <c:formatCode>General</c:formatCode>
                <c:ptCount val="4"/>
                <c:pt idx="0">
                  <c:v>43</c:v>
                </c:pt>
                <c:pt idx="1">
                  <c:v>42</c:v>
                </c:pt>
                <c:pt idx="2">
                  <c:v>53</c:v>
                </c:pt>
                <c:pt idx="3">
                  <c:v>31</c:v>
                </c:pt>
              </c:numCache>
            </c:numRef>
          </c:val>
          <c:extLst>
            <c:ext xmlns:c16="http://schemas.microsoft.com/office/drawing/2014/chart" uri="{C3380CC4-5D6E-409C-BE32-E72D297353CC}">
              <c16:uniqueId val="{00000000-7730-4CA1-8BCE-DAA72296A55E}"/>
            </c:ext>
          </c:extLst>
        </c:ser>
        <c:dLbls>
          <c:dLblPos val="inBase"/>
          <c:showLegendKey val="0"/>
          <c:showVal val="1"/>
          <c:showCatName val="0"/>
          <c:showSerName val="0"/>
          <c:showPercent val="0"/>
          <c:showBubbleSize val="0"/>
        </c:dLbls>
        <c:gapWidth val="130"/>
        <c:overlap val="-27"/>
        <c:axId val="1186345583"/>
        <c:axId val="1186345103"/>
      </c:barChart>
      <c:lineChart>
        <c:grouping val="standard"/>
        <c:varyColors val="0"/>
        <c:ser>
          <c:idx val="1"/>
          <c:order val="1"/>
          <c:tx>
            <c:strRef>
              <c:f>Pivot_Tables!$F$36</c:f>
              <c:strCache>
                <c:ptCount val="1"/>
                <c:pt idx="0">
                  <c:v>COLLABORATION 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12700"/>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Pivot_Tables!$D$37:$D$41</c:f>
              <c:strCache>
                <c:ptCount val="4"/>
                <c:pt idx="0">
                  <c:v>Q1</c:v>
                </c:pt>
                <c:pt idx="1">
                  <c:v>Q2</c:v>
                </c:pt>
                <c:pt idx="2">
                  <c:v>Q3</c:v>
                </c:pt>
                <c:pt idx="3">
                  <c:v>Q4</c:v>
                </c:pt>
              </c:strCache>
            </c:strRef>
          </c:cat>
          <c:val>
            <c:numRef>
              <c:f>Pivot_Tables!$F$37:$F$41</c:f>
              <c:numCache>
                <c:formatCode>General</c:formatCode>
                <c:ptCount val="4"/>
                <c:pt idx="0">
                  <c:v>38.6</c:v>
                </c:pt>
                <c:pt idx="1">
                  <c:v>23.6</c:v>
                </c:pt>
                <c:pt idx="2">
                  <c:v>30.5</c:v>
                </c:pt>
                <c:pt idx="3">
                  <c:v>16.3</c:v>
                </c:pt>
              </c:numCache>
            </c:numRef>
          </c:val>
          <c:smooth val="1"/>
          <c:extLst>
            <c:ext xmlns:c16="http://schemas.microsoft.com/office/drawing/2014/chart" uri="{C3380CC4-5D6E-409C-BE32-E72D297353CC}">
              <c16:uniqueId val="{00000001-7730-4CA1-8BCE-DAA72296A55E}"/>
            </c:ext>
          </c:extLst>
        </c:ser>
        <c:dLbls>
          <c:showLegendKey val="0"/>
          <c:showVal val="1"/>
          <c:showCatName val="0"/>
          <c:showSerName val="0"/>
          <c:showPercent val="0"/>
          <c:showBubbleSize val="0"/>
        </c:dLbls>
        <c:marker val="1"/>
        <c:smooth val="0"/>
        <c:axId val="496403007"/>
        <c:axId val="496387647"/>
      </c:lineChart>
      <c:catAx>
        <c:axId val="496403007"/>
        <c:scaling>
          <c:orientation val="minMax"/>
        </c:scaling>
        <c:delete val="0"/>
        <c:axPos val="b"/>
        <c:numFmt formatCode="General" sourceLinked="1"/>
        <c:majorTickMark val="out"/>
        <c:minorTickMark val="none"/>
        <c:tickLblPos val="nextTo"/>
        <c:spPr>
          <a:noFill/>
          <a:ln w="15875" cap="flat" cmpd="sng" algn="ctr">
            <a:solidFill>
              <a:schemeClr val="accent1"/>
            </a:solidFill>
            <a:round/>
          </a:ln>
          <a:effectLst/>
        </c:spPr>
        <c:txPr>
          <a:bodyPr rot="-60000000" spcFirstLastPara="1" vertOverflow="ellipsis" vert="horz" wrap="square" anchor="ctr" anchorCtr="0"/>
          <a:lstStyle/>
          <a:p>
            <a:pPr>
              <a:defRPr sz="900" b="1" i="0" u="none" strike="noStrike" kern="1200" baseline="0">
                <a:solidFill>
                  <a:schemeClr val="accent1">
                    <a:lumMod val="50000"/>
                  </a:schemeClr>
                </a:solidFill>
                <a:latin typeface="+mn-lt"/>
                <a:ea typeface="+mn-ea"/>
                <a:cs typeface="+mn-cs"/>
              </a:defRPr>
            </a:pPr>
            <a:endParaRPr lang="en-NG"/>
          </a:p>
        </c:txPr>
        <c:crossAx val="496387647"/>
        <c:crosses val="autoZero"/>
        <c:auto val="1"/>
        <c:lblAlgn val="ctr"/>
        <c:lblOffset val="100"/>
        <c:noMultiLvlLbl val="0"/>
      </c:catAx>
      <c:valAx>
        <c:axId val="496387647"/>
        <c:scaling>
          <c:orientation val="minMax"/>
        </c:scaling>
        <c:delete val="1"/>
        <c:axPos val="l"/>
        <c:numFmt formatCode="General" sourceLinked="1"/>
        <c:majorTickMark val="out"/>
        <c:minorTickMark val="none"/>
        <c:tickLblPos val="nextTo"/>
        <c:crossAx val="496403007"/>
        <c:crosses val="autoZero"/>
        <c:crossBetween val="between"/>
      </c:valAx>
      <c:valAx>
        <c:axId val="11863451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186345583"/>
        <c:crosses val="max"/>
        <c:crossBetween val="between"/>
      </c:valAx>
      <c:catAx>
        <c:axId val="1186345583"/>
        <c:scaling>
          <c:orientation val="minMax"/>
        </c:scaling>
        <c:delete val="1"/>
        <c:axPos val="b"/>
        <c:numFmt formatCode="General" sourceLinked="1"/>
        <c:majorTickMark val="out"/>
        <c:minorTickMark val="none"/>
        <c:tickLblPos val="nextTo"/>
        <c:crossAx val="1186345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ta_Table!A1"/><Relationship Id="rId7" Type="http://schemas.openxmlformats.org/officeDocument/2006/relationships/chart" Target="../charts/chart1.xml"/><Relationship Id="rId2" Type="http://schemas.openxmlformats.org/officeDocument/2006/relationships/hyperlink" Target="#Pivot_Tables!A1"/><Relationship Id="rId1" Type="http://schemas.openxmlformats.org/officeDocument/2006/relationships/image" Target="../media/image1.jpeg"/><Relationship Id="rId6" Type="http://schemas.openxmlformats.org/officeDocument/2006/relationships/image" Target="../media/image3.jpeg"/><Relationship Id="rId5" Type="http://schemas.openxmlformats.org/officeDocument/2006/relationships/image" Target="../media/image2.png"/><Relationship Id="rId4" Type="http://schemas.openxmlformats.org/officeDocument/2006/relationships/hyperlink" Target="#Innovations_Department!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485775</xdr:colOff>
      <xdr:row>1</xdr:row>
      <xdr:rowOff>9525</xdr:rowOff>
    </xdr:from>
    <xdr:to>
      <xdr:col>1</xdr:col>
      <xdr:colOff>0</xdr:colOff>
      <xdr:row>5</xdr:row>
      <xdr:rowOff>142875</xdr:rowOff>
    </xdr:to>
    <xdr:grpSp>
      <xdr:nvGrpSpPr>
        <xdr:cNvPr id="5" name="Group 4">
          <a:hlinkClick xmlns:r="http://schemas.openxmlformats.org/officeDocument/2006/relationships" r:id="rId1"/>
          <a:extLst>
            <a:ext uri="{FF2B5EF4-FFF2-40B4-BE49-F238E27FC236}">
              <a16:creationId xmlns:a16="http://schemas.microsoft.com/office/drawing/2014/main" id="{B0FDF8E0-2C91-CD0D-1A9B-CE222453D6B2}"/>
            </a:ext>
          </a:extLst>
        </xdr:cNvPr>
        <xdr:cNvGrpSpPr/>
      </xdr:nvGrpSpPr>
      <xdr:grpSpPr>
        <a:xfrm>
          <a:off x="485775" y="200025"/>
          <a:ext cx="885825" cy="895350"/>
          <a:chOff x="485775" y="200025"/>
          <a:chExt cx="771525" cy="742950"/>
        </a:xfrm>
      </xdr:grpSpPr>
      <xdr:sp macro="" textlink="">
        <xdr:nvSpPr>
          <xdr:cNvPr id="2" name="Pentagon 1">
            <a:extLst>
              <a:ext uri="{FF2B5EF4-FFF2-40B4-BE49-F238E27FC236}">
                <a16:creationId xmlns:a16="http://schemas.microsoft.com/office/drawing/2014/main" id="{663A9C54-5B0B-4D8B-90D9-2F46E780C43E}"/>
              </a:ext>
            </a:extLst>
          </xdr:cNvPr>
          <xdr:cNvSpPr/>
        </xdr:nvSpPr>
        <xdr:spPr>
          <a:xfrm>
            <a:off x="485775" y="200025"/>
            <a:ext cx="771525" cy="742950"/>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478A8256-5E56-A03F-9502-6802E0ECE711}"/>
              </a:ext>
            </a:extLst>
          </xdr:cNvPr>
          <xdr:cNvSpPr txBox="1"/>
        </xdr:nvSpPr>
        <xdr:spPr>
          <a:xfrm>
            <a:off x="619124" y="371476"/>
            <a:ext cx="495301" cy="523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BACK TO HOME</a:t>
            </a:r>
            <a:endParaRPr lang="en-NG" sz="9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1</xdr:rowOff>
    </xdr:from>
    <xdr:to>
      <xdr:col>17</xdr:col>
      <xdr:colOff>9525</xdr:colOff>
      <xdr:row>24</xdr:row>
      <xdr:rowOff>9525</xdr:rowOff>
    </xdr:to>
    <xdr:grpSp>
      <xdr:nvGrpSpPr>
        <xdr:cNvPr id="30" name="Group 29">
          <a:extLst>
            <a:ext uri="{FF2B5EF4-FFF2-40B4-BE49-F238E27FC236}">
              <a16:creationId xmlns:a16="http://schemas.microsoft.com/office/drawing/2014/main" id="{A3755F77-177C-658D-6B2C-96EDC61DFD7B}"/>
            </a:ext>
          </a:extLst>
        </xdr:cNvPr>
        <xdr:cNvGrpSpPr/>
      </xdr:nvGrpSpPr>
      <xdr:grpSpPr>
        <a:xfrm>
          <a:off x="1219200" y="190501"/>
          <a:ext cx="9153525" cy="4391024"/>
          <a:chOff x="1219200" y="190501"/>
          <a:chExt cx="9153525" cy="4391024"/>
        </a:xfrm>
      </xdr:grpSpPr>
      <xdr:sp macro="" textlink="">
        <xdr:nvSpPr>
          <xdr:cNvPr id="2" name="Rectangle: Rounded Corners 1">
            <a:extLst>
              <a:ext uri="{FF2B5EF4-FFF2-40B4-BE49-F238E27FC236}">
                <a16:creationId xmlns:a16="http://schemas.microsoft.com/office/drawing/2014/main" id="{B641B88C-3558-C502-5B48-377C6E13C4A7}"/>
              </a:ext>
            </a:extLst>
          </xdr:cNvPr>
          <xdr:cNvSpPr/>
        </xdr:nvSpPr>
        <xdr:spPr>
          <a:xfrm>
            <a:off x="1219200" y="200025"/>
            <a:ext cx="9153525" cy="4381500"/>
          </a:xfrm>
          <a:prstGeom prst="roundRect">
            <a:avLst>
              <a:gd name="adj" fmla="val 4710"/>
            </a:avLst>
          </a:prstGeom>
          <a:pattFill prst="divot">
            <a:fgClr>
              <a:schemeClr val="accent1">
                <a:lumMod val="50000"/>
              </a:schemeClr>
            </a:fgClr>
            <a:bgClr>
              <a:srgbClr val="B630A6"/>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16" name="Group 15">
            <a:extLst>
              <a:ext uri="{FF2B5EF4-FFF2-40B4-BE49-F238E27FC236}">
                <a16:creationId xmlns:a16="http://schemas.microsoft.com/office/drawing/2014/main" id="{65165A2A-0B77-A6A6-B8FA-48870DC28219}"/>
              </a:ext>
            </a:extLst>
          </xdr:cNvPr>
          <xdr:cNvGrpSpPr/>
        </xdr:nvGrpSpPr>
        <xdr:grpSpPr>
          <a:xfrm>
            <a:off x="1323975" y="1457325"/>
            <a:ext cx="1990725" cy="2905125"/>
            <a:chOff x="1314450" y="1371600"/>
            <a:chExt cx="1990725" cy="2905125"/>
          </a:xfrm>
        </xdr:grpSpPr>
        <xdr:sp macro="" textlink="">
          <xdr:nvSpPr>
            <xdr:cNvPr id="3" name="Rectangle 2">
              <a:extLst>
                <a:ext uri="{FF2B5EF4-FFF2-40B4-BE49-F238E27FC236}">
                  <a16:creationId xmlns:a16="http://schemas.microsoft.com/office/drawing/2014/main" id="{2DA751B0-772F-D7ED-FD6C-1D608BC65C82}"/>
                </a:ext>
              </a:extLst>
            </xdr:cNvPr>
            <xdr:cNvSpPr/>
          </xdr:nvSpPr>
          <xdr:spPr>
            <a:xfrm>
              <a:off x="1314450" y="1371600"/>
              <a:ext cx="1990725" cy="2905125"/>
            </a:xfrm>
            <a:prstGeom prst="rect">
              <a:avLst/>
            </a:prstGeom>
            <a:blipFill>
              <a:blip xmlns:r="http://schemas.openxmlformats.org/officeDocument/2006/relationships" r:embed="rId1"/>
              <a:tile tx="0" ty="0" sx="100000" sy="100000" flip="none" algn="tl"/>
            </a:blipFill>
            <a:ln>
              <a:no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TextBox 3">
              <a:extLst>
                <a:ext uri="{FF2B5EF4-FFF2-40B4-BE49-F238E27FC236}">
                  <a16:creationId xmlns:a16="http://schemas.microsoft.com/office/drawing/2014/main" id="{D33BA554-6D13-FB44-ACC1-107EAEA043DF}"/>
                </a:ext>
              </a:extLst>
            </xdr:cNvPr>
            <xdr:cNvSpPr txBox="1"/>
          </xdr:nvSpPr>
          <xdr:spPr>
            <a:xfrm>
              <a:off x="1381125" y="1428750"/>
              <a:ext cx="1857375" cy="676275"/>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900" b="1">
                  <a:solidFill>
                    <a:schemeClr val="accent1">
                      <a:lumMod val="50000"/>
                    </a:schemeClr>
                  </a:solidFill>
                  <a:latin typeface="Bookman Old Style" panose="02050604050505020204" pitchFamily="18" charset="0"/>
                </a:rPr>
                <a:t>NAVIGATION</a:t>
              </a:r>
              <a:r>
                <a:rPr lang="en-US" sz="1900" b="1" baseline="0">
                  <a:solidFill>
                    <a:schemeClr val="accent1">
                      <a:lumMod val="50000"/>
                    </a:schemeClr>
                  </a:solidFill>
                  <a:latin typeface="Bookman Old Style" panose="02050604050505020204" pitchFamily="18" charset="0"/>
                </a:rPr>
                <a:t> BARS</a:t>
              </a:r>
              <a:endParaRPr lang="en-NG" sz="1900" b="1">
                <a:solidFill>
                  <a:schemeClr val="accent1">
                    <a:lumMod val="50000"/>
                  </a:schemeClr>
                </a:solidFill>
                <a:latin typeface="Bookman Old Style" panose="02050604050505020204" pitchFamily="18" charset="0"/>
              </a:endParaRPr>
            </a:p>
          </xdr:txBody>
        </xdr:sp>
        <xdr:sp macro="" textlink="">
          <xdr:nvSpPr>
            <xdr:cNvPr id="5" name="TextBox 4">
              <a:hlinkClick xmlns:r="http://schemas.openxmlformats.org/officeDocument/2006/relationships" r:id="rId2"/>
              <a:extLst>
                <a:ext uri="{FF2B5EF4-FFF2-40B4-BE49-F238E27FC236}">
                  <a16:creationId xmlns:a16="http://schemas.microsoft.com/office/drawing/2014/main" id="{61223A00-C4D3-44E1-A982-3D99C5DE3610}"/>
                </a:ext>
              </a:extLst>
            </xdr:cNvPr>
            <xdr:cNvSpPr txBox="1"/>
          </xdr:nvSpPr>
          <xdr:spPr>
            <a:xfrm>
              <a:off x="1581150" y="2212974"/>
              <a:ext cx="1457325" cy="333376"/>
            </a:xfrm>
            <a:prstGeom prst="rect">
              <a:avLst/>
            </a:prstGeom>
            <a:blipFill>
              <a:blip xmlns:r="http://schemas.openxmlformats.org/officeDocument/2006/relationships" r:embed="rId1"/>
              <a:tile tx="0" ty="0" sx="100000" sy="100000" flip="none" algn="tl"/>
            </a:blip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a:solidFill>
                    <a:schemeClr val="accent5">
                      <a:lumMod val="75000"/>
                    </a:schemeClr>
                  </a:solidFill>
                </a:rPr>
                <a:t>PIVOT TABLES</a:t>
              </a:r>
              <a:endParaRPr lang="en-NG" sz="1700" b="1">
                <a:solidFill>
                  <a:schemeClr val="accent5">
                    <a:lumMod val="75000"/>
                  </a:schemeClr>
                </a:solidFill>
              </a:endParaRPr>
            </a:p>
          </xdr:txBody>
        </xdr:sp>
        <xdr:sp macro="" textlink="">
          <xdr:nvSpPr>
            <xdr:cNvPr id="6" name="TextBox 5">
              <a:hlinkClick xmlns:r="http://schemas.openxmlformats.org/officeDocument/2006/relationships" r:id="rId3"/>
              <a:extLst>
                <a:ext uri="{FF2B5EF4-FFF2-40B4-BE49-F238E27FC236}">
                  <a16:creationId xmlns:a16="http://schemas.microsoft.com/office/drawing/2014/main" id="{56F800CA-1FFF-4519-A85E-DCBD2FCF51C1}"/>
                </a:ext>
              </a:extLst>
            </xdr:cNvPr>
            <xdr:cNvSpPr txBox="1"/>
          </xdr:nvSpPr>
          <xdr:spPr>
            <a:xfrm>
              <a:off x="1600199" y="3581401"/>
              <a:ext cx="1419226" cy="342900"/>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a:solidFill>
                    <a:schemeClr val="accent5">
                      <a:lumMod val="75000"/>
                    </a:schemeClr>
                  </a:solidFill>
                </a:rPr>
                <a:t>DATA TABLE</a:t>
              </a:r>
              <a:endParaRPr lang="en-NG" sz="1700" b="1">
                <a:solidFill>
                  <a:schemeClr val="accent5">
                    <a:lumMod val="75000"/>
                  </a:schemeClr>
                </a:solidFill>
              </a:endParaRPr>
            </a:p>
          </xdr:txBody>
        </xdr:sp>
        <xdr:sp macro="" textlink="">
          <xdr:nvSpPr>
            <xdr:cNvPr id="9" name="TextBox 8">
              <a:hlinkClick xmlns:r="http://schemas.openxmlformats.org/officeDocument/2006/relationships" r:id="rId4"/>
              <a:extLst>
                <a:ext uri="{FF2B5EF4-FFF2-40B4-BE49-F238E27FC236}">
                  <a16:creationId xmlns:a16="http://schemas.microsoft.com/office/drawing/2014/main" id="{51D25D8A-D42B-4EF3-B35A-BCE61B4198BE}"/>
                </a:ext>
              </a:extLst>
            </xdr:cNvPr>
            <xdr:cNvSpPr txBox="1"/>
          </xdr:nvSpPr>
          <xdr:spPr>
            <a:xfrm>
              <a:off x="1590675" y="2749550"/>
              <a:ext cx="1457325" cy="647701"/>
            </a:xfrm>
            <a:prstGeom prst="rect">
              <a:avLst/>
            </a:prstGeom>
            <a:blipFill>
              <a:blip xmlns:r="http://schemas.openxmlformats.org/officeDocument/2006/relationships" r:embed="rId1"/>
              <a:tile tx="0" ty="0" sx="100000" sy="100000" flip="none" algn="tl"/>
            </a:blip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a:solidFill>
                    <a:schemeClr val="accent5">
                      <a:lumMod val="75000"/>
                    </a:schemeClr>
                  </a:solidFill>
                </a:rPr>
                <a:t>INNOVATIONS DEPARTMENT</a:t>
              </a:r>
              <a:endParaRPr lang="en-NG" sz="1700" b="1">
                <a:solidFill>
                  <a:schemeClr val="accent5">
                    <a:lumMod val="75000"/>
                  </a:schemeClr>
                </a:solidFill>
              </a:endParaRPr>
            </a:p>
          </xdr:txBody>
        </xdr:sp>
      </xdr:grpSp>
      <xdr:grpSp>
        <xdr:nvGrpSpPr>
          <xdr:cNvPr id="29" name="Group 28">
            <a:extLst>
              <a:ext uri="{FF2B5EF4-FFF2-40B4-BE49-F238E27FC236}">
                <a16:creationId xmlns:a16="http://schemas.microsoft.com/office/drawing/2014/main" id="{45902E08-4BD1-4B86-0EC1-1DBCBB07209B}"/>
              </a:ext>
            </a:extLst>
          </xdr:cNvPr>
          <xdr:cNvGrpSpPr/>
        </xdr:nvGrpSpPr>
        <xdr:grpSpPr>
          <a:xfrm>
            <a:off x="1219200" y="190501"/>
            <a:ext cx="9153525" cy="1066799"/>
            <a:chOff x="1219200" y="190501"/>
            <a:chExt cx="9153525" cy="1066799"/>
          </a:xfrm>
        </xdr:grpSpPr>
        <xdr:sp macro="" textlink="">
          <xdr:nvSpPr>
            <xdr:cNvPr id="12" name="Rectangle: Top Corners Rounded 11">
              <a:extLst>
                <a:ext uri="{FF2B5EF4-FFF2-40B4-BE49-F238E27FC236}">
                  <a16:creationId xmlns:a16="http://schemas.microsoft.com/office/drawing/2014/main" id="{A8C2BB3F-8D4F-7D24-5368-5CD9C6C9E395}"/>
                </a:ext>
              </a:extLst>
            </xdr:cNvPr>
            <xdr:cNvSpPr/>
          </xdr:nvSpPr>
          <xdr:spPr>
            <a:xfrm>
              <a:off x="1219200" y="190501"/>
              <a:ext cx="9153525" cy="1066799"/>
            </a:xfrm>
            <a:prstGeom prst="round2SameRect">
              <a:avLst>
                <a:gd name="adj1" fmla="val 20238"/>
                <a:gd name="adj2" fmla="val 0"/>
              </a:avLst>
            </a:prstGeom>
            <a:blipFill>
              <a:blip xmlns:r="http://schemas.openxmlformats.org/officeDocument/2006/relationships" r:embed="rId1"/>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14" name="Picture 13">
              <a:extLst>
                <a:ext uri="{FF2B5EF4-FFF2-40B4-BE49-F238E27FC236}">
                  <a16:creationId xmlns:a16="http://schemas.microsoft.com/office/drawing/2014/main" id="{791937B1-FE0A-0BB8-89C3-34B3D9ECEF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23976" y="228601"/>
              <a:ext cx="2343150" cy="977188"/>
            </a:xfrm>
            <a:prstGeom prst="rect">
              <a:avLst/>
            </a:prstGeom>
          </xdr:spPr>
        </xdr:pic>
        <xdr:sp macro="" textlink="">
          <xdr:nvSpPr>
            <xdr:cNvPr id="15" name="TextBox 14">
              <a:extLst>
                <a:ext uri="{FF2B5EF4-FFF2-40B4-BE49-F238E27FC236}">
                  <a16:creationId xmlns:a16="http://schemas.microsoft.com/office/drawing/2014/main" id="{A1BE3C87-2D57-FB00-C2C6-04CF8544C1AA}"/>
                </a:ext>
              </a:extLst>
            </xdr:cNvPr>
            <xdr:cNvSpPr txBox="1"/>
          </xdr:nvSpPr>
          <xdr:spPr>
            <a:xfrm>
              <a:off x="4514850" y="276225"/>
              <a:ext cx="5000625"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gradFill>
                    <a:gsLst>
                      <a:gs pos="20000">
                        <a:schemeClr val="accent5">
                          <a:lumMod val="75000"/>
                        </a:schemeClr>
                      </a:gs>
                      <a:gs pos="43000">
                        <a:schemeClr val="accent5">
                          <a:lumMod val="60000"/>
                          <a:lumOff val="40000"/>
                        </a:schemeClr>
                      </a:gs>
                      <a:gs pos="67000">
                        <a:schemeClr val="accent5">
                          <a:lumMod val="75000"/>
                        </a:schemeClr>
                      </a:gs>
                      <a:gs pos="90000">
                        <a:schemeClr val="accent5">
                          <a:lumMod val="40000"/>
                          <a:lumOff val="60000"/>
                        </a:schemeClr>
                      </a:gs>
                    </a:gsLst>
                    <a:lin ang="18900000" scaled="1"/>
                  </a:gradFill>
                </a:rPr>
                <a:t>INNOVATIONS DEPARTMENT</a:t>
              </a:r>
              <a:endParaRPr lang="en-NG" sz="3200" b="1">
                <a:gradFill>
                  <a:gsLst>
                    <a:gs pos="20000">
                      <a:schemeClr val="accent5">
                        <a:lumMod val="75000"/>
                      </a:schemeClr>
                    </a:gs>
                    <a:gs pos="43000">
                      <a:schemeClr val="accent5">
                        <a:lumMod val="60000"/>
                        <a:lumOff val="40000"/>
                      </a:schemeClr>
                    </a:gs>
                    <a:gs pos="67000">
                      <a:schemeClr val="accent5">
                        <a:lumMod val="75000"/>
                      </a:schemeClr>
                    </a:gs>
                    <a:gs pos="90000">
                      <a:schemeClr val="accent5">
                        <a:lumMod val="40000"/>
                        <a:lumOff val="60000"/>
                      </a:schemeClr>
                    </a:gs>
                  </a:gsLst>
                  <a:lin ang="18900000" scaled="1"/>
                </a:gradFill>
              </a:endParaRPr>
            </a:p>
          </xdr:txBody>
        </xdr:sp>
      </xdr:grpSp>
      <xdr:sp macro="" textlink="">
        <xdr:nvSpPr>
          <xdr:cNvPr id="18" name="Rectangle 17">
            <a:extLst>
              <a:ext uri="{FF2B5EF4-FFF2-40B4-BE49-F238E27FC236}">
                <a16:creationId xmlns:a16="http://schemas.microsoft.com/office/drawing/2014/main" id="{18A84DC5-9E30-C1D0-30FD-F9EAC109ACB9}"/>
              </a:ext>
            </a:extLst>
          </xdr:cNvPr>
          <xdr:cNvSpPr/>
        </xdr:nvSpPr>
        <xdr:spPr>
          <a:xfrm>
            <a:off x="3390900" y="1362075"/>
            <a:ext cx="6886575" cy="1104900"/>
          </a:xfrm>
          <a:prstGeom prst="rect">
            <a:avLst/>
          </a:prstGeom>
          <a:pattFill prst="divot">
            <a:fgClr>
              <a:schemeClr val="accent1">
                <a:lumMod val="50000"/>
              </a:schemeClr>
            </a:fgClr>
            <a:bgClr>
              <a:srgbClr val="B630A6"/>
            </a:bgClr>
          </a:patt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blipFill>
                <a:blip xmlns:r="http://schemas.openxmlformats.org/officeDocument/2006/relationships" r:embed="rId1"/>
                <a:tile tx="0" ty="0" sx="100000" sy="100000" flip="none" algn="tl"/>
              </a:blipFill>
            </a:endParaRPr>
          </a:p>
        </xdr:txBody>
      </xdr:sp>
      <xdr:sp macro="" textlink="">
        <xdr:nvSpPr>
          <xdr:cNvPr id="41" name="Rectangle 40">
            <a:extLst>
              <a:ext uri="{FF2B5EF4-FFF2-40B4-BE49-F238E27FC236}">
                <a16:creationId xmlns:a16="http://schemas.microsoft.com/office/drawing/2014/main" id="{4C939B6A-C49D-A1AB-0BAF-7318B4DE1E3D}"/>
              </a:ext>
            </a:extLst>
          </xdr:cNvPr>
          <xdr:cNvSpPr/>
        </xdr:nvSpPr>
        <xdr:spPr>
          <a:xfrm>
            <a:off x="3429000" y="2476499"/>
            <a:ext cx="3686175" cy="20097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7" name="Rectangle 6">
            <a:extLst>
              <a:ext uri="{FF2B5EF4-FFF2-40B4-BE49-F238E27FC236}">
                <a16:creationId xmlns:a16="http://schemas.microsoft.com/office/drawing/2014/main" id="{90F45EEF-935D-057C-A76F-7DF5B0C5E725}"/>
              </a:ext>
            </a:extLst>
          </xdr:cNvPr>
          <xdr:cNvSpPr/>
        </xdr:nvSpPr>
        <xdr:spPr>
          <a:xfrm>
            <a:off x="7210424" y="2466975"/>
            <a:ext cx="3038475" cy="1352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17" name="Group 16">
            <a:extLst>
              <a:ext uri="{FF2B5EF4-FFF2-40B4-BE49-F238E27FC236}">
                <a16:creationId xmlns:a16="http://schemas.microsoft.com/office/drawing/2014/main" id="{E0C55A6F-04AC-2538-5104-FA2B4A68EFD5}"/>
              </a:ext>
            </a:extLst>
          </xdr:cNvPr>
          <xdr:cNvGrpSpPr/>
        </xdr:nvGrpSpPr>
        <xdr:grpSpPr>
          <a:xfrm>
            <a:off x="3428999" y="1333500"/>
            <a:ext cx="6848476" cy="3171824"/>
            <a:chOff x="3428999" y="1333500"/>
            <a:chExt cx="6848476" cy="3171824"/>
          </a:xfrm>
        </xdr:grpSpPr>
        <xdr:grpSp>
          <xdr:nvGrpSpPr>
            <xdr:cNvPr id="26" name="Group 25">
              <a:extLst>
                <a:ext uri="{FF2B5EF4-FFF2-40B4-BE49-F238E27FC236}">
                  <a16:creationId xmlns:a16="http://schemas.microsoft.com/office/drawing/2014/main" id="{4A926062-1624-0D8C-3F22-81EAE162A5E3}"/>
                </a:ext>
              </a:extLst>
            </xdr:cNvPr>
            <xdr:cNvGrpSpPr/>
          </xdr:nvGrpSpPr>
          <xdr:grpSpPr>
            <a:xfrm>
              <a:off x="7172325" y="3819524"/>
              <a:ext cx="3105150" cy="685800"/>
              <a:chOff x="7248525" y="3810000"/>
              <a:chExt cx="3076427" cy="769251"/>
            </a:xfrm>
          </xdr:grpSpPr>
          <xdr:sp macro="" textlink="">
            <xdr:nvSpPr>
              <xdr:cNvPr id="24" name="Rectangle 23">
                <a:extLst>
                  <a:ext uri="{FF2B5EF4-FFF2-40B4-BE49-F238E27FC236}">
                    <a16:creationId xmlns:a16="http://schemas.microsoft.com/office/drawing/2014/main" id="{D8F079B9-70AF-CCF5-2A4A-F0642782B750}"/>
                  </a:ext>
                </a:extLst>
              </xdr:cNvPr>
              <xdr:cNvSpPr/>
            </xdr:nvSpPr>
            <xdr:spPr>
              <a:xfrm>
                <a:off x="7248525" y="3810000"/>
                <a:ext cx="3028950" cy="714375"/>
              </a:xfrm>
              <a:prstGeom prst="rect">
                <a:avLst/>
              </a:prstGeom>
              <a:pattFill prst="divot">
                <a:fgClr>
                  <a:schemeClr val="accent1">
                    <a:lumMod val="50000"/>
                  </a:schemeClr>
                </a:fgClr>
                <a:bgClr>
                  <a:srgbClr val="B630A6"/>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xmlns:a14="http://schemas.microsoft.com/office/drawing/2010/main">
            <mc:Choice Requires="a14">
              <xdr:graphicFrame macro="">
                <xdr:nvGraphicFramePr>
                  <xdr:cNvPr id="25" name="QUARTER">
                    <a:extLst>
                      <a:ext uri="{FF2B5EF4-FFF2-40B4-BE49-F238E27FC236}">
                        <a16:creationId xmlns:a16="http://schemas.microsoft.com/office/drawing/2014/main" id="{5603AD17-448F-4909-93A1-DF29B591872B}"/>
                      </a:ext>
                    </a:extLst>
                  </xdr:cNvPr>
                  <xdr:cNvGraphicFramePr/>
                </xdr:nvGraphicFramePr>
                <xdr:xfrm>
                  <a:off x="7286477" y="3810000"/>
                  <a:ext cx="3038475" cy="769251"/>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210631" y="3819524"/>
                    <a:ext cx="3066844" cy="685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3" name="Group 12">
              <a:extLst>
                <a:ext uri="{FF2B5EF4-FFF2-40B4-BE49-F238E27FC236}">
                  <a16:creationId xmlns:a16="http://schemas.microsoft.com/office/drawing/2014/main" id="{324FBCC1-F078-0911-787D-DA228B5B820C}"/>
                </a:ext>
              </a:extLst>
            </xdr:cNvPr>
            <xdr:cNvGrpSpPr/>
          </xdr:nvGrpSpPr>
          <xdr:grpSpPr>
            <a:xfrm>
              <a:off x="3429000" y="1333500"/>
              <a:ext cx="6829424" cy="1009650"/>
              <a:chOff x="3429000" y="1409700"/>
              <a:chExt cx="6829424" cy="1009650"/>
            </a:xfrm>
          </xdr:grpSpPr>
          <xdr:sp macro="" textlink="">
            <xdr:nvSpPr>
              <xdr:cNvPr id="19" name="Rectangle 18">
                <a:extLst>
                  <a:ext uri="{FF2B5EF4-FFF2-40B4-BE49-F238E27FC236}">
                    <a16:creationId xmlns:a16="http://schemas.microsoft.com/office/drawing/2014/main" id="{3ED1E6CB-2E75-36C9-7807-4D5992FA56E5}"/>
                  </a:ext>
                </a:extLst>
              </xdr:cNvPr>
              <xdr:cNvSpPr/>
            </xdr:nvSpPr>
            <xdr:spPr>
              <a:xfrm>
                <a:off x="3429000" y="1409700"/>
                <a:ext cx="1657350" cy="1009650"/>
              </a:xfrm>
              <a:prstGeom prst="rect">
                <a:avLst/>
              </a:prstGeom>
              <a:blipFill dpi="0" rotWithShape="1">
                <a:blip xmlns:r="http://schemas.openxmlformats.org/officeDocument/2006/relationships" r:embed="rId6"/>
                <a:srcRect/>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0" name="Rectangle 19">
                <a:extLst>
                  <a:ext uri="{FF2B5EF4-FFF2-40B4-BE49-F238E27FC236}">
                    <a16:creationId xmlns:a16="http://schemas.microsoft.com/office/drawing/2014/main" id="{EA1ED33A-B29B-4F9A-8C00-4EC034F84960}"/>
                  </a:ext>
                </a:extLst>
              </xdr:cNvPr>
              <xdr:cNvSpPr/>
            </xdr:nvSpPr>
            <xdr:spPr>
              <a:xfrm>
                <a:off x="5143500" y="1409700"/>
                <a:ext cx="1657350" cy="1009650"/>
              </a:xfrm>
              <a:prstGeom prst="rect">
                <a:avLst/>
              </a:prstGeom>
              <a:blipFill dpi="0" rotWithShape="1">
                <a:blip xmlns:r="http://schemas.openxmlformats.org/officeDocument/2006/relationships" r:embed="rId6"/>
                <a:srcRect/>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1" name="Rectangle 20">
                <a:extLst>
                  <a:ext uri="{FF2B5EF4-FFF2-40B4-BE49-F238E27FC236}">
                    <a16:creationId xmlns:a16="http://schemas.microsoft.com/office/drawing/2014/main" id="{E05B54FD-065E-440E-AD96-B7BFE5ADC01F}"/>
                  </a:ext>
                </a:extLst>
              </xdr:cNvPr>
              <xdr:cNvSpPr/>
            </xdr:nvSpPr>
            <xdr:spPr>
              <a:xfrm>
                <a:off x="6858000" y="1409700"/>
                <a:ext cx="1657350" cy="1009650"/>
              </a:xfrm>
              <a:prstGeom prst="rect">
                <a:avLst/>
              </a:prstGeom>
              <a:blipFill dpi="0" rotWithShape="1">
                <a:blip xmlns:r="http://schemas.openxmlformats.org/officeDocument/2006/relationships" r:embed="rId6"/>
                <a:srcRect/>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2" name="Rectangle 21">
                <a:extLst>
                  <a:ext uri="{FF2B5EF4-FFF2-40B4-BE49-F238E27FC236}">
                    <a16:creationId xmlns:a16="http://schemas.microsoft.com/office/drawing/2014/main" id="{C10652ED-1113-4E43-B59F-7B5765E12203}"/>
                  </a:ext>
                </a:extLst>
              </xdr:cNvPr>
              <xdr:cNvSpPr/>
            </xdr:nvSpPr>
            <xdr:spPr>
              <a:xfrm>
                <a:off x="8572499" y="1409700"/>
                <a:ext cx="1685925" cy="1009650"/>
              </a:xfrm>
              <a:prstGeom prst="rect">
                <a:avLst/>
              </a:prstGeom>
              <a:blipFill dpi="0" rotWithShape="1">
                <a:blip xmlns:r="http://schemas.openxmlformats.org/officeDocument/2006/relationships" r:embed="rId6"/>
                <a:srcRect/>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7" name="TextBox 26">
                <a:extLst>
                  <a:ext uri="{FF2B5EF4-FFF2-40B4-BE49-F238E27FC236}">
                    <a16:creationId xmlns:a16="http://schemas.microsoft.com/office/drawing/2014/main" id="{CFE2E620-D71F-8628-C490-3A23416B05A1}"/>
                  </a:ext>
                </a:extLst>
              </xdr:cNvPr>
              <xdr:cNvSpPr txBox="1"/>
            </xdr:nvSpPr>
            <xdr:spPr>
              <a:xfrm>
                <a:off x="3467100" y="1438275"/>
                <a:ext cx="157162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rPr>
                  <a:t>PROTOTYPES</a:t>
                </a:r>
                <a:r>
                  <a:rPr lang="en-US" sz="1400" b="1" baseline="0">
                    <a:solidFill>
                      <a:schemeClr val="accent1">
                        <a:lumMod val="50000"/>
                      </a:schemeClr>
                    </a:solidFill>
                  </a:rPr>
                  <a:t> DEVELOPED</a:t>
                </a:r>
                <a:endParaRPr lang="en-NG" sz="1400" b="1">
                  <a:solidFill>
                    <a:schemeClr val="accent1">
                      <a:lumMod val="50000"/>
                    </a:schemeClr>
                  </a:solidFill>
                </a:endParaRPr>
              </a:p>
            </xdr:txBody>
          </xdr:sp>
          <xdr:sp macro="" textlink="Pivot_Tables!H12">
            <xdr:nvSpPr>
              <xdr:cNvPr id="28" name="TextBox 27">
                <a:extLst>
                  <a:ext uri="{FF2B5EF4-FFF2-40B4-BE49-F238E27FC236}">
                    <a16:creationId xmlns:a16="http://schemas.microsoft.com/office/drawing/2014/main" id="{552983C2-44FB-273C-60B3-EDBB313373F1}"/>
                  </a:ext>
                </a:extLst>
              </xdr:cNvPr>
              <xdr:cNvSpPr txBox="1"/>
            </xdr:nvSpPr>
            <xdr:spPr>
              <a:xfrm>
                <a:off x="3881437" y="1990724"/>
                <a:ext cx="742950" cy="390525"/>
              </a:xfrm>
              <a:prstGeom prst="rect">
                <a:avLst/>
              </a:prstGeom>
              <a:gradFill>
                <a:gsLst>
                  <a:gs pos="62000">
                    <a:schemeClr val="accent5">
                      <a:lumMod val="60000"/>
                      <a:lumOff val="40000"/>
                    </a:schemeClr>
                  </a:gs>
                  <a:gs pos="22000">
                    <a:schemeClr val="accent5">
                      <a:lumMod val="75000"/>
                    </a:schemeClr>
                  </a:gs>
                  <a:gs pos="43000">
                    <a:schemeClr val="accent5">
                      <a:lumMod val="40000"/>
                      <a:lumOff val="60000"/>
                    </a:schemeClr>
                  </a:gs>
                </a:gsLst>
                <a:lin ang="18900000" scaled="1"/>
              </a:gradFill>
              <a:ln w="9525" cmpd="sng">
                <a:no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6E1644D9-0100-411F-B50F-191C8C42D22F}" type="TxLink">
                  <a:rPr lang="en-US" sz="2800" b="1" i="0" u="none" strike="noStrike">
                    <a:solidFill>
                      <a:schemeClr val="accent1">
                        <a:lumMod val="50000"/>
                      </a:schemeClr>
                    </a:solidFill>
                    <a:latin typeface="Aptos Narrow"/>
                  </a:rPr>
                  <a:pPr algn="ctr"/>
                  <a:t>169</a:t>
                </a:fld>
                <a:endParaRPr lang="en-NG" sz="2800" b="1">
                  <a:solidFill>
                    <a:schemeClr val="accent1">
                      <a:lumMod val="50000"/>
                    </a:schemeClr>
                  </a:solidFill>
                </a:endParaRPr>
              </a:p>
            </xdr:txBody>
          </xdr:sp>
          <xdr:sp macro="" textlink="">
            <xdr:nvSpPr>
              <xdr:cNvPr id="32" name="TextBox 31">
                <a:extLst>
                  <a:ext uri="{FF2B5EF4-FFF2-40B4-BE49-F238E27FC236}">
                    <a16:creationId xmlns:a16="http://schemas.microsoft.com/office/drawing/2014/main" id="{86387FE2-5B87-4639-A59C-145DAE931E9E}"/>
                  </a:ext>
                </a:extLst>
              </xdr:cNvPr>
              <xdr:cNvSpPr txBox="1"/>
            </xdr:nvSpPr>
            <xdr:spPr>
              <a:xfrm>
                <a:off x="5191125" y="1438275"/>
                <a:ext cx="157162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36000" rIns="0" bIns="72000" rtlCol="0" anchor="ctr"/>
              <a:lstStyle/>
              <a:p>
                <a:pPr algn="ctr"/>
                <a:r>
                  <a:rPr lang="en-US" sz="1285" b="1">
                    <a:solidFill>
                      <a:schemeClr val="accent1">
                        <a:lumMod val="50000"/>
                      </a:schemeClr>
                    </a:solidFill>
                  </a:rPr>
                  <a:t>PERCENTAGE OF PROTOTYPES</a:t>
                </a:r>
                <a:r>
                  <a:rPr lang="en-US" sz="1285" b="1" baseline="0">
                    <a:solidFill>
                      <a:schemeClr val="accent1">
                        <a:lumMod val="50000"/>
                      </a:schemeClr>
                    </a:solidFill>
                  </a:rPr>
                  <a:t> ADOPTED</a:t>
                </a:r>
                <a:endParaRPr lang="en-NG" sz="1285" b="1">
                  <a:solidFill>
                    <a:schemeClr val="accent1">
                      <a:lumMod val="50000"/>
                    </a:schemeClr>
                  </a:solidFill>
                </a:endParaRPr>
              </a:p>
            </xdr:txBody>
          </xdr:sp>
          <xdr:sp macro="" textlink="Pivot_Tables!K12">
            <xdr:nvSpPr>
              <xdr:cNvPr id="33" name="TextBox 32">
                <a:extLst>
                  <a:ext uri="{FF2B5EF4-FFF2-40B4-BE49-F238E27FC236}">
                    <a16:creationId xmlns:a16="http://schemas.microsoft.com/office/drawing/2014/main" id="{851084C8-4C20-4554-A314-946C0DC9781A}"/>
                  </a:ext>
                </a:extLst>
              </xdr:cNvPr>
              <xdr:cNvSpPr txBox="1"/>
            </xdr:nvSpPr>
            <xdr:spPr>
              <a:xfrm>
                <a:off x="5460206" y="1990724"/>
                <a:ext cx="1033463" cy="390525"/>
              </a:xfrm>
              <a:prstGeom prst="rect">
                <a:avLst/>
              </a:prstGeom>
              <a:gradFill>
                <a:gsLst>
                  <a:gs pos="62000">
                    <a:schemeClr val="accent5">
                      <a:lumMod val="60000"/>
                      <a:lumOff val="40000"/>
                    </a:schemeClr>
                  </a:gs>
                  <a:gs pos="22000">
                    <a:schemeClr val="accent5">
                      <a:lumMod val="75000"/>
                    </a:schemeClr>
                  </a:gs>
                  <a:gs pos="43000">
                    <a:schemeClr val="accent5">
                      <a:lumMod val="40000"/>
                      <a:lumOff val="60000"/>
                    </a:schemeClr>
                  </a:gs>
                </a:gsLst>
                <a:lin ang="18900000" scaled="1"/>
              </a:gradFill>
              <a:ln w="9525" cmpd="sng">
                <a:no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7AD05F3E-F596-4DB9-A189-C749780BA811}" type="TxLink">
                  <a:rPr lang="en-US" sz="2800" b="1" i="0" u="none" strike="noStrike">
                    <a:solidFill>
                      <a:schemeClr val="accent1">
                        <a:lumMod val="50000"/>
                      </a:schemeClr>
                    </a:solidFill>
                    <a:latin typeface="Aptos Narrow"/>
                  </a:rPr>
                  <a:pPr algn="ctr"/>
                  <a:t>24.26</a:t>
                </a:fld>
                <a:endParaRPr lang="en-NG" sz="2800" b="1">
                  <a:solidFill>
                    <a:schemeClr val="accent1">
                      <a:lumMod val="50000"/>
                    </a:schemeClr>
                  </a:solidFill>
                </a:endParaRPr>
              </a:p>
            </xdr:txBody>
          </xdr:sp>
          <xdr:sp macro="" textlink="">
            <xdr:nvSpPr>
              <xdr:cNvPr id="34" name="TextBox 33">
                <a:extLst>
                  <a:ext uri="{FF2B5EF4-FFF2-40B4-BE49-F238E27FC236}">
                    <a16:creationId xmlns:a16="http://schemas.microsoft.com/office/drawing/2014/main" id="{14FA276F-8696-45D9-AD1C-5ED9EC9DF464}"/>
                  </a:ext>
                </a:extLst>
              </xdr:cNvPr>
              <xdr:cNvSpPr txBox="1"/>
            </xdr:nvSpPr>
            <xdr:spPr>
              <a:xfrm>
                <a:off x="6896100" y="1447800"/>
                <a:ext cx="157162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72000" rtlCol="0" anchor="ctr"/>
              <a:lstStyle/>
              <a:p>
                <a:pPr algn="ctr"/>
                <a:r>
                  <a:rPr lang="en-US" sz="1400" b="1">
                    <a:solidFill>
                      <a:schemeClr val="accent1">
                        <a:lumMod val="50000"/>
                      </a:schemeClr>
                    </a:solidFill>
                  </a:rPr>
                  <a:t>COMMERCIALIZED</a:t>
                </a:r>
                <a:r>
                  <a:rPr lang="en-US" sz="1400" b="1" baseline="0">
                    <a:solidFill>
                      <a:schemeClr val="accent1">
                        <a:lumMod val="50000"/>
                      </a:schemeClr>
                    </a:solidFill>
                  </a:rPr>
                  <a:t> SOLUTIONS</a:t>
                </a:r>
                <a:endParaRPr lang="en-NG" sz="1400" b="1">
                  <a:solidFill>
                    <a:schemeClr val="accent1">
                      <a:lumMod val="50000"/>
                    </a:schemeClr>
                  </a:solidFill>
                </a:endParaRPr>
              </a:p>
            </xdr:txBody>
          </xdr:sp>
          <xdr:sp macro="" textlink="Pivot_Tables!J12">
            <xdr:nvSpPr>
              <xdr:cNvPr id="35" name="TextBox 34">
                <a:extLst>
                  <a:ext uri="{FF2B5EF4-FFF2-40B4-BE49-F238E27FC236}">
                    <a16:creationId xmlns:a16="http://schemas.microsoft.com/office/drawing/2014/main" id="{441790E7-8D78-4229-8CC3-CEA3C2C20F05}"/>
                  </a:ext>
                </a:extLst>
              </xdr:cNvPr>
              <xdr:cNvSpPr txBox="1"/>
            </xdr:nvSpPr>
            <xdr:spPr>
              <a:xfrm>
                <a:off x="7310437" y="2000249"/>
                <a:ext cx="742950" cy="390525"/>
              </a:xfrm>
              <a:prstGeom prst="rect">
                <a:avLst/>
              </a:prstGeom>
              <a:gradFill>
                <a:gsLst>
                  <a:gs pos="62000">
                    <a:schemeClr val="accent5">
                      <a:lumMod val="60000"/>
                      <a:lumOff val="40000"/>
                    </a:schemeClr>
                  </a:gs>
                  <a:gs pos="22000">
                    <a:schemeClr val="accent5">
                      <a:lumMod val="75000"/>
                    </a:schemeClr>
                  </a:gs>
                  <a:gs pos="43000">
                    <a:schemeClr val="accent5">
                      <a:lumMod val="40000"/>
                      <a:lumOff val="60000"/>
                    </a:schemeClr>
                  </a:gs>
                </a:gsLst>
                <a:lin ang="18900000" scaled="1"/>
              </a:gradFill>
              <a:ln w="9525" cmpd="sng">
                <a:no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3AD3569E-B0CC-4F61-A70E-0E1794020328}" type="TxLink">
                  <a:rPr lang="en-US" sz="2800" b="1" i="0" u="none" strike="noStrike">
                    <a:solidFill>
                      <a:schemeClr val="accent1">
                        <a:lumMod val="50000"/>
                      </a:schemeClr>
                    </a:solidFill>
                    <a:latin typeface="Aptos Narrow"/>
                  </a:rPr>
                  <a:pPr algn="ctr"/>
                  <a:t>87</a:t>
                </a:fld>
                <a:endParaRPr lang="en-NG" sz="6000" b="1">
                  <a:solidFill>
                    <a:schemeClr val="accent1">
                      <a:lumMod val="50000"/>
                    </a:schemeClr>
                  </a:solidFill>
                </a:endParaRPr>
              </a:p>
            </xdr:txBody>
          </xdr:sp>
          <xdr:sp macro="" textlink="Pivot_Tables!L12">
            <xdr:nvSpPr>
              <xdr:cNvPr id="37" name="TextBox 36">
                <a:extLst>
                  <a:ext uri="{FF2B5EF4-FFF2-40B4-BE49-F238E27FC236}">
                    <a16:creationId xmlns:a16="http://schemas.microsoft.com/office/drawing/2014/main" id="{0715393B-CDC3-4C19-8807-A3119D4E82C6}"/>
                  </a:ext>
                </a:extLst>
              </xdr:cNvPr>
              <xdr:cNvSpPr txBox="1"/>
            </xdr:nvSpPr>
            <xdr:spPr>
              <a:xfrm>
                <a:off x="8908851" y="2038351"/>
                <a:ext cx="994171" cy="342900"/>
              </a:xfrm>
              <a:prstGeom prst="rect">
                <a:avLst/>
              </a:prstGeom>
              <a:gradFill>
                <a:gsLst>
                  <a:gs pos="62000">
                    <a:schemeClr val="accent5">
                      <a:lumMod val="60000"/>
                      <a:lumOff val="40000"/>
                    </a:schemeClr>
                  </a:gs>
                  <a:gs pos="22000">
                    <a:schemeClr val="accent5">
                      <a:lumMod val="75000"/>
                    </a:schemeClr>
                  </a:gs>
                  <a:gs pos="43000">
                    <a:schemeClr val="accent5">
                      <a:lumMod val="40000"/>
                      <a:lumOff val="60000"/>
                    </a:schemeClr>
                  </a:gs>
                </a:gsLst>
                <a:lin ang="18900000" scaled="1"/>
              </a:gradFill>
              <a:ln w="9525" cmpd="sng">
                <a:no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575FDCC6-4372-45D3-98EA-F2E2C67BA249}" type="TxLink">
                  <a:rPr lang="en-US" sz="2800" b="1" i="0" u="none" strike="noStrike">
                    <a:solidFill>
                      <a:schemeClr val="accent1">
                        <a:lumMod val="50000"/>
                      </a:schemeClr>
                    </a:solidFill>
                    <a:latin typeface="Aptos Narrow"/>
                  </a:rPr>
                  <a:pPr algn="ctr"/>
                  <a:t>109</a:t>
                </a:fld>
                <a:endParaRPr lang="en-NG" sz="13800" b="1">
                  <a:solidFill>
                    <a:schemeClr val="accent1">
                      <a:lumMod val="50000"/>
                    </a:schemeClr>
                  </a:solidFill>
                </a:endParaRPr>
              </a:p>
            </xdr:txBody>
          </xdr:sp>
          <xdr:sp macro="" textlink="">
            <xdr:nvSpPr>
              <xdr:cNvPr id="40" name="TextBox 39">
                <a:extLst>
                  <a:ext uri="{FF2B5EF4-FFF2-40B4-BE49-F238E27FC236}">
                    <a16:creationId xmlns:a16="http://schemas.microsoft.com/office/drawing/2014/main" id="{A41FF5BF-E34E-4763-BEF9-A8EB79AC7974}"/>
                  </a:ext>
                </a:extLst>
              </xdr:cNvPr>
              <xdr:cNvSpPr txBox="1"/>
            </xdr:nvSpPr>
            <xdr:spPr>
              <a:xfrm>
                <a:off x="8620124" y="1409700"/>
                <a:ext cx="15716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50" b="1">
                    <a:solidFill>
                      <a:schemeClr val="accent1">
                        <a:lumMod val="50000"/>
                      </a:schemeClr>
                    </a:solidFill>
                  </a:rPr>
                  <a:t>CROSS-DEPARTMENTAL</a:t>
                </a:r>
                <a:r>
                  <a:rPr lang="en-US" sz="1250" b="1" baseline="0">
                    <a:solidFill>
                      <a:schemeClr val="accent1">
                        <a:lumMod val="50000"/>
                      </a:schemeClr>
                    </a:solidFill>
                  </a:rPr>
                  <a:t> COLLABORATION SCORE</a:t>
                </a:r>
                <a:endParaRPr lang="en-NG" sz="1250" b="1">
                  <a:solidFill>
                    <a:schemeClr val="accent1">
                      <a:lumMod val="50000"/>
                    </a:schemeClr>
                  </a:solidFill>
                </a:endParaRPr>
              </a:p>
            </xdr:txBody>
          </xdr:sp>
        </xdr:grpSp>
        <xdr:graphicFrame macro="">
          <xdr:nvGraphicFramePr>
            <xdr:cNvPr id="42" name="Chart 41">
              <a:extLst>
                <a:ext uri="{FF2B5EF4-FFF2-40B4-BE49-F238E27FC236}">
                  <a16:creationId xmlns:a16="http://schemas.microsoft.com/office/drawing/2014/main" id="{477EA634-5B3D-4915-8813-D74BD1437FC5}"/>
                </a:ext>
              </a:extLst>
            </xdr:cNvPr>
            <xdr:cNvGraphicFramePr>
              <a:graphicFrameLocks/>
            </xdr:cNvGraphicFramePr>
          </xdr:nvGraphicFramePr>
          <xdr:xfrm>
            <a:off x="3428999" y="2400300"/>
            <a:ext cx="3733801" cy="208597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 name="Chart 7">
              <a:extLst>
                <a:ext uri="{FF2B5EF4-FFF2-40B4-BE49-F238E27FC236}">
                  <a16:creationId xmlns:a16="http://schemas.microsoft.com/office/drawing/2014/main" id="{B9583FDA-3037-4B4C-ADF4-967036A3422D}"/>
                </a:ext>
              </a:extLst>
            </xdr:cNvPr>
            <xdr:cNvGraphicFramePr>
              <a:graphicFrameLocks/>
            </xdr:cNvGraphicFramePr>
          </xdr:nvGraphicFramePr>
          <xdr:xfrm>
            <a:off x="7219948" y="2400299"/>
            <a:ext cx="3048001" cy="1400175"/>
          </xdr:xfrm>
          <a:graphic>
            <a:graphicData uri="http://schemas.openxmlformats.org/drawingml/2006/chart">
              <c:chart xmlns:c="http://schemas.openxmlformats.org/drawingml/2006/chart" xmlns:r="http://schemas.openxmlformats.org/officeDocument/2006/relationships" r:id="rId8"/>
            </a:graphicData>
          </a:graphic>
        </xdr:graphicFrame>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20</xdr:row>
      <xdr:rowOff>23283</xdr:rowOff>
    </xdr:from>
    <xdr:to>
      <xdr:col>2</xdr:col>
      <xdr:colOff>3777</xdr:colOff>
      <xdr:row>23</xdr:row>
      <xdr:rowOff>180975</xdr:rowOff>
    </xdr:to>
    <xdr:grpSp>
      <xdr:nvGrpSpPr>
        <xdr:cNvPr id="6" name="Group 5">
          <a:hlinkClick xmlns:r="http://schemas.openxmlformats.org/officeDocument/2006/relationships" r:id="rId1"/>
          <a:extLst>
            <a:ext uri="{FF2B5EF4-FFF2-40B4-BE49-F238E27FC236}">
              <a16:creationId xmlns:a16="http://schemas.microsoft.com/office/drawing/2014/main" id="{92B3ECE6-AAA5-FDC1-0A03-99C7B3EA21E4}"/>
            </a:ext>
          </a:extLst>
        </xdr:cNvPr>
        <xdr:cNvGrpSpPr/>
      </xdr:nvGrpSpPr>
      <xdr:grpSpPr>
        <a:xfrm>
          <a:off x="704850" y="3833283"/>
          <a:ext cx="784827" cy="729192"/>
          <a:chOff x="704850" y="3833283"/>
          <a:chExt cx="784827" cy="729192"/>
        </a:xfrm>
      </xdr:grpSpPr>
      <xdr:sp macro="" textlink="">
        <xdr:nvSpPr>
          <xdr:cNvPr id="2" name="Pentagon 1">
            <a:extLst>
              <a:ext uri="{FF2B5EF4-FFF2-40B4-BE49-F238E27FC236}">
                <a16:creationId xmlns:a16="http://schemas.microsoft.com/office/drawing/2014/main" id="{1BC53B22-8E2C-1D84-5F76-1629E7B09E7C}"/>
              </a:ext>
            </a:extLst>
          </xdr:cNvPr>
          <xdr:cNvSpPr/>
        </xdr:nvSpPr>
        <xdr:spPr>
          <a:xfrm>
            <a:off x="704850" y="3833283"/>
            <a:ext cx="784827" cy="729192"/>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TextBox 2">
            <a:hlinkClick xmlns:r="http://schemas.openxmlformats.org/officeDocument/2006/relationships" r:id="rId1"/>
            <a:extLst>
              <a:ext uri="{FF2B5EF4-FFF2-40B4-BE49-F238E27FC236}">
                <a16:creationId xmlns:a16="http://schemas.microsoft.com/office/drawing/2014/main" id="{D3BDD2BF-62F8-9EE0-539A-9686D524D9A2}"/>
              </a:ext>
            </a:extLst>
          </xdr:cNvPr>
          <xdr:cNvSpPr txBox="1"/>
        </xdr:nvSpPr>
        <xdr:spPr>
          <a:xfrm>
            <a:off x="838200" y="4029076"/>
            <a:ext cx="514350" cy="466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t>BACK TO HOME</a:t>
            </a:r>
            <a:endParaRPr lang="en-NG" sz="800" b="1"/>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19</xdr:row>
      <xdr:rowOff>57978</xdr:rowOff>
    </xdr:from>
    <xdr:to>
      <xdr:col>2</xdr:col>
      <xdr:colOff>16565</xdr:colOff>
      <xdr:row>23</xdr:row>
      <xdr:rowOff>33130</xdr:rowOff>
    </xdr:to>
    <xdr:grpSp>
      <xdr:nvGrpSpPr>
        <xdr:cNvPr id="4" name="Group 3">
          <a:hlinkClick xmlns:r="http://schemas.openxmlformats.org/officeDocument/2006/relationships" r:id="rId1"/>
          <a:extLst>
            <a:ext uri="{FF2B5EF4-FFF2-40B4-BE49-F238E27FC236}">
              <a16:creationId xmlns:a16="http://schemas.microsoft.com/office/drawing/2014/main" id="{1FE5ED7F-CE0D-FB48-48F6-27344270D4A9}"/>
            </a:ext>
          </a:extLst>
        </xdr:cNvPr>
        <xdr:cNvGrpSpPr/>
      </xdr:nvGrpSpPr>
      <xdr:grpSpPr>
        <a:xfrm>
          <a:off x="396875" y="3858056"/>
          <a:ext cx="770628" cy="729215"/>
          <a:chOff x="397565" y="4025348"/>
          <a:chExt cx="771525" cy="742950"/>
        </a:xfrm>
      </xdr:grpSpPr>
      <xdr:sp macro="" textlink="">
        <xdr:nvSpPr>
          <xdr:cNvPr id="2" name="Pentagon 1">
            <a:extLst>
              <a:ext uri="{FF2B5EF4-FFF2-40B4-BE49-F238E27FC236}">
                <a16:creationId xmlns:a16="http://schemas.microsoft.com/office/drawing/2014/main" id="{51056700-D33E-4FC1-AA90-9B309F7A1028}"/>
              </a:ext>
            </a:extLst>
          </xdr:cNvPr>
          <xdr:cNvSpPr/>
        </xdr:nvSpPr>
        <xdr:spPr>
          <a:xfrm>
            <a:off x="397565" y="4025348"/>
            <a:ext cx="771525" cy="742950"/>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TextBox 2">
            <a:hlinkClick xmlns:r="http://schemas.openxmlformats.org/officeDocument/2006/relationships" r:id="rId1"/>
            <a:extLst>
              <a:ext uri="{FF2B5EF4-FFF2-40B4-BE49-F238E27FC236}">
                <a16:creationId xmlns:a16="http://schemas.microsoft.com/office/drawing/2014/main" id="{D1DD677E-1BAF-4B4A-9C23-D7DACB86C336}"/>
              </a:ext>
            </a:extLst>
          </xdr:cNvPr>
          <xdr:cNvSpPr txBox="1"/>
        </xdr:nvSpPr>
        <xdr:spPr>
          <a:xfrm>
            <a:off x="530914" y="4196799"/>
            <a:ext cx="495301" cy="523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BACK TO HOME</a:t>
            </a:r>
            <a:endParaRPr lang="en-NG" sz="900" b="1"/>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527778" backgroundQuery="1" createdVersion="8" refreshedVersion="8" minRefreshableVersion="3" recordCount="0" supportSubquery="1" supportAdvancedDrill="1" xr:uid="{D621F628-FFC5-4B3D-BB1A-02E132487CED}">
  <cacheSource type="external" connectionId="2"/>
  <cacheFields count="3">
    <cacheField name="[Innovations_Department].[QUARTER].[QUARTER]" caption="QUARTER" numFmtId="0" hierarchy="1" level="1">
      <sharedItems count="4">
        <s v="Q1"/>
        <s v="Q2"/>
        <s v="Q3"/>
        <s v="Q4"/>
      </sharedItems>
    </cacheField>
    <cacheField name="[Measures].[Sum of PROTOTYPES DEVELOPED]" caption="Sum of PROTOTYPES DEVELOPED" numFmtId="0" hierarchy="7" level="32767"/>
    <cacheField name="[Measures].[Sum of PROTOTYPES ADOPTED]" caption="Sum of PROTOTYPES ADOPTED" numFmtId="0" hierarchy="8"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2"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2"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2"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2"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2"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2" memberValueDatatype="5" unbalanced="0"/>
    <cacheHierarchy uniqueName="[Measures].[Sum of PROTOTYPES DEVELOPED]" caption="Sum of PROTOTYPES DEVELOPED" measure="1" displayFolder="" measureGroup="Innovations_Department" count="0" oneField="1">
      <fieldsUsage count="1">
        <fieldUsage x="1"/>
      </fieldsUsage>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oneField="1">
      <fieldsUsage count="1">
        <fieldUsage x="2"/>
      </fieldsUsage>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5740742" backgroundQuery="1" createdVersion="8" refreshedVersion="8" minRefreshableVersion="3" recordCount="0" supportSubquery="1" supportAdvancedDrill="1" xr:uid="{1F45634E-CE41-49FF-8167-17ECD6EB7E7D}">
  <cacheSource type="external" connectionId="2"/>
  <cacheFields count="2">
    <cacheField name="[Innovations_Department].[QUARTER].[QUARTER]" caption="QUARTER" numFmtId="0" hierarchy="1" level="1">
      <sharedItems count="4">
        <s v="Q1"/>
        <s v="Q2"/>
        <s v="Q3"/>
        <s v="Q4"/>
      </sharedItems>
    </cacheField>
    <cacheField name="[Measures].[Sum of PROTOTYPES DEVELOPED]" caption="Sum of PROTOTYPES DEVELOPED" numFmtId="0" hierarchy="7"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oneField="1">
      <fieldsUsage count="1">
        <fieldUsage x="1"/>
      </fieldsUsage>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6087965" backgroundQuery="1" createdVersion="8" refreshedVersion="8" minRefreshableVersion="3" recordCount="0" supportSubquery="1" supportAdvancedDrill="1" xr:uid="{8996DCD2-B560-4268-BEB6-0945A7F916DE}">
  <cacheSource type="external" connectionId="2"/>
  <cacheFields count="2">
    <cacheField name="[Innovations_Department].[QUARTER].[QUARTER]" caption="QUARTER" numFmtId="0" hierarchy="1" level="1">
      <sharedItems count="4">
        <s v="Q1"/>
        <s v="Q2"/>
        <s v="Q3"/>
        <s v="Q4"/>
      </sharedItems>
    </cacheField>
    <cacheField name="[Measures].[Sum of PROTOTYPES ADOPTED]" caption="Sum of PROTOTYPES ADOPTED" numFmtId="0" hierarchy="8"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oneField="1">
      <fieldsUsage count="1">
        <fieldUsage x="1"/>
      </fieldsUsage>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6550927" backgroundQuery="1" createdVersion="8" refreshedVersion="8" minRefreshableVersion="3" recordCount="0" supportSubquery="1" supportAdvancedDrill="1" xr:uid="{CCC3452A-55A4-4E63-9309-C34E0BFA7C74}">
  <cacheSource type="external" connectionId="2"/>
  <cacheFields count="2">
    <cacheField name="[Innovations_Department].[QUARTER].[QUARTER]" caption="QUARTER" numFmtId="0" hierarchy="1" level="1">
      <sharedItems count="4">
        <s v="Q1"/>
        <s v="Q2"/>
        <s v="Q3"/>
        <s v="Q4"/>
      </sharedItems>
    </cacheField>
    <cacheField name="[Measures].[Sum of SOLUTIONS COMMERCIALIZED]" caption="Sum of SOLUTIONS COMMERCIALIZED" numFmtId="0" hierarchy="9"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oneField="1">
      <fieldsUsage count="1">
        <fieldUsage x="1"/>
      </fieldsUsage>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7013889" backgroundQuery="1" createdVersion="8" refreshedVersion="8" minRefreshableVersion="3" recordCount="0" supportSubquery="1" supportAdvancedDrill="1" xr:uid="{E5323D1E-123A-4C12-850E-857EF1C12993}">
  <cacheSource type="external" connectionId="2"/>
  <cacheFields count="2">
    <cacheField name="[Innovations_Department].[QUARTER].[QUARTER]" caption="QUARTER" numFmtId="0" hierarchy="1" level="1">
      <sharedItems count="4">
        <s v="Q1"/>
        <s v="Q2"/>
        <s v="Q3"/>
        <s v="Q4"/>
      </sharedItems>
    </cacheField>
    <cacheField name="[Measures].[Sum of COLLABORATION SCORE]" caption="Sum of COLLABORATION SCORE" numFmtId="0" hierarchy="10"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oneField="1">
      <fieldsUsage count="1">
        <fieldUsage x="1"/>
      </fieldsUsage>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7592589" backgroundQuery="1" createdVersion="8" refreshedVersion="8" minRefreshableVersion="3" recordCount="0" supportSubquery="1" supportAdvancedDrill="1" xr:uid="{3C8FCE61-F6CF-476C-BB59-3CB669A11C8E}">
  <cacheSource type="external" connectionId="2"/>
  <cacheFields count="3">
    <cacheField name="[Innovations_Department].[QUARTER].[QUARTER]" caption="QUARTER" numFmtId="0" hierarchy="1" level="1">
      <sharedItems containsSemiMixedTypes="0" containsNonDate="0" containsString="0"/>
    </cacheField>
    <cacheField name="[Innovations_Department].[EFFICIENCY GAINS].[EFFICIENCY GAINS]" caption="EFFICIENCY GAINS" numFmtId="0" hierarchy="5" level="1">
      <sharedItems count="13">
        <s v="$10,000 saved"/>
        <s v="$15,000 saved"/>
        <s v="$20,000 saved"/>
        <s v="$5,000 saved"/>
        <s v="$50,000 saved"/>
        <s v="10% productivity"/>
        <s v="18% productivity"/>
        <s v="20% faster response"/>
        <s v="25% time saved"/>
        <s v="40% faster response"/>
        <s v="45% time saved"/>
        <s v="55% time saved"/>
        <s v="60% faster response"/>
      </sharedItems>
    </cacheField>
    <cacheField name="[Measures].[Count of EFFICIENCY GAINS]" caption="Count of EFFICIENCY GAINS" numFmtId="0" hierarchy="11"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2"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2"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2"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2"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2" memberValueDatatype="130" unbalanced="0">
      <fieldsUsage count="2">
        <fieldUsage x="-1"/>
        <fieldUsage x="1"/>
      </fieldsUsage>
    </cacheHierarchy>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2" memberValueDatatype="5" unbalanced="0"/>
    <cacheHierarchy uniqueName="[Measures].[Sum of PROTOTYPES DEVELOPED]" caption="Sum of PROTOTYPES DEVELOPED" measure="1" displayFolder="" measureGroup="Innovations_Department" count="0">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oneField="1">
      <fieldsUsage count="1">
        <fieldUsage x="2"/>
      </fieldsUsage>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8055559" backgroundQuery="1" createdVersion="8" refreshedVersion="8" minRefreshableVersion="3" recordCount="0" supportSubquery="1" supportAdvancedDrill="1" xr:uid="{A170CB4E-BE03-4377-BD2F-CE0F80098CCC}">
  <cacheSource type="external" connectionId="2"/>
  <cacheFields count="4">
    <cacheField name="[Innovations_Department].[QUARTER].[QUARTER]" caption="QUARTER" numFmtId="0" hierarchy="1" level="1">
      <sharedItems count="4">
        <s v="Q1"/>
        <s v="Q2"/>
        <s v="Q3"/>
        <s v="Q4"/>
      </sharedItems>
    </cacheField>
    <cacheField name="[Innovations_Department].[EFFICIENCY GAINS].[EFFICIENCY GAINS]" caption="EFFICIENCY GAINS" numFmtId="0" hierarchy="5" level="1">
      <sharedItems count="13">
        <s v="$10,000 saved"/>
        <s v="$5,000 saved"/>
        <s v="10% productivity"/>
        <s v="18% productivity"/>
        <s v="20% faster response"/>
        <s v="25% time saved"/>
        <s v="$15,000 saved"/>
        <s v="40% faster response"/>
        <s v="45% time saved"/>
        <s v="60% faster response"/>
        <s v="$20,000 saved"/>
        <s v="$50,000 saved"/>
        <s v="55% time saved"/>
      </sharedItems>
    </cacheField>
    <cacheField name="[Measures].[Sum of PROTOTYPES ADOPTED]" caption="Sum of PROTOTYPES ADOPTED" numFmtId="0" hierarchy="8" level="32767"/>
    <cacheField name="[Measures].[Sum of SOLUTIONS COMMERCIALIZED]" caption="Sum of SOLUTIONS COMMERCIALIZED" numFmtId="0" hierarchy="9"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2" memberValueDatatype="130" unbalanced="0">
      <fieldsUsage count="2">
        <fieldUsage x="-1"/>
        <fieldUsage x="1"/>
      </fieldsUsage>
    </cacheHierarchy>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oneField="1">
      <fieldsUsage count="1">
        <fieldUsage x="2"/>
      </fieldsUsage>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oneField="1">
      <fieldsUsage count="1">
        <fieldUsage x="3"/>
      </fieldsUsage>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851852" backgroundQuery="1" createdVersion="8" refreshedVersion="8" minRefreshableVersion="3" recordCount="0" supportSubquery="1" supportAdvancedDrill="1" xr:uid="{D54C3BEA-C3EA-4959-A8AB-CD0CBD908838}">
  <cacheSource type="external" connectionId="2"/>
  <cacheFields count="3">
    <cacheField name="[Innovations_Department].[QUARTER].[QUARTER]" caption="QUARTER" numFmtId="0" hierarchy="1" level="1">
      <sharedItems count="4">
        <s v="Q1"/>
        <s v="Q2"/>
        <s v="Q3"/>
        <s v="Q4"/>
      </sharedItems>
    </cacheField>
    <cacheField name="[Measures].[Sum of PROTOTYPES DEVELOPED]" caption="Sum of PROTOTYPES DEVELOPED" numFmtId="0" hierarchy="7" level="32767"/>
    <cacheField name="[Measures].[Sum of COLLABORATION SCORE]" caption="Sum of COLLABORATION SCORE" numFmtId="0" hierarchy="10" level="32767"/>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0"/>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oneField="1">
      <fieldsUsage count="1">
        <fieldUsage x="1"/>
      </fieldsUsage>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oneField="1">
      <fieldsUsage count="1">
        <fieldUsage x="2"/>
      </fieldsUsage>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72.513968981482" backgroundQuery="1" createdVersion="8" refreshedVersion="8" minRefreshableVersion="3" recordCount="0" supportSubquery="1" supportAdvancedDrill="1" xr:uid="{858D7D38-1FEA-462D-A8AB-8EFEE4DF5B38}">
  <cacheSource type="external" connectionId="2"/>
  <cacheFields count="6">
    <cacheField name="[Measures].[Sum of PROTOTYPES DEVELOPED]" caption="Sum of PROTOTYPES DEVELOPED" numFmtId="0" hierarchy="7" level="32767"/>
    <cacheField name="[Measures].[Sum of PROTOTYPES ADOPTED]" caption="Sum of PROTOTYPES ADOPTED" numFmtId="0" hierarchy="8" level="32767"/>
    <cacheField name="[Measures].[Sum of SOLUTIONS COMMERCIALIZED]" caption="Sum of SOLUTIONS COMMERCIALIZED" numFmtId="0" hierarchy="9" level="32767"/>
    <cacheField name="[Measures].[Percentage of Prototypes Adopted]" caption="Percentage of Prototypes Adopted" numFmtId="0" hierarchy="12" level="32767"/>
    <cacheField name="[Measures].[Sum of COLLABORATION SCORE]" caption="Sum of COLLABORATION SCORE" numFmtId="0" hierarchy="10" level="32767"/>
    <cacheField name="[Innovations_Department].[QUARTER].[QUARTER]" caption="QUARTER" numFmtId="0" hierarchy="1" level="1">
      <sharedItems containsSemiMixedTypes="0" containsNonDate="0" containsString="0"/>
    </cacheField>
  </cacheFields>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fieldsUsage count="2">
        <fieldUsage x="-1"/>
        <fieldUsage x="5"/>
      </fieldsUsage>
    </cacheHierarchy>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oneField="1">
      <fieldsUsage count="1">
        <fieldUsage x="0"/>
      </fieldsUsage>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oneField="1">
      <fieldsUsage count="1">
        <fieldUsage x="1"/>
      </fieldsUsage>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oneField="1">
      <fieldsUsage count="1">
        <fieldUsage x="2"/>
      </fieldsUsage>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oneField="1">
      <fieldsUsage count="1">
        <fieldUsage x="4"/>
      </fieldsUsage>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oneField="1">
      <fieldsUsage count="1">
        <fieldUsage x="3"/>
      </fieldsUsage>
    </cacheHierarchy>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dimensions count="2">
    <dimension name="Innovations_Department" uniqueName="[Innovations_Department]" caption="Innovations_Department"/>
    <dimension measure="1" name="Measures" uniqueName="[Measures]" caption="Measures"/>
  </dimensions>
  <measureGroups count="1">
    <measureGroup name="Innovations_Department" caption="Innovations_Departmen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iremhen ukpebor" refreshedDate="45965.694218287033" backgroundQuery="1" createdVersion="3" refreshedVersion="8" minRefreshableVersion="3" recordCount="0" supportSubquery="1" supportAdvancedDrill="1" xr:uid="{F0584443-9CB4-4762-8670-BB06134B0B0E}">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Innovations_Department].[DATE]" caption="DATE" attribute="1" time="1" defaultMemberUniqueName="[Innovations_Department].[DATE].[All]" allUniqueName="[Innovations_Department].[DATE].[All]" dimensionUniqueName="[Innovations_Department]" displayFolder="" count="0" memberValueDatatype="7" unbalanced="0"/>
    <cacheHierarchy uniqueName="[Innovations_Department].[QUARTER]" caption="QUARTER" attribute="1" defaultMemberUniqueName="[Innovations_Department].[QUARTER].[All]" allUniqueName="[Innovations_Department].[QUARTER].[All]" dimensionUniqueName="[Innovations_Department]" displayFolder="" count="2" memberValueDatatype="130" unbalanced="0"/>
    <cacheHierarchy uniqueName="[Innovations_Department].[PROTOTYPES DEVELOPED]" caption="PROTOTYPES DEVELOPED" attribute="1" defaultMemberUniqueName="[Innovations_Department].[PROTOTYPES DEVELOPED].[All]" allUniqueName="[Innovations_Department].[PROTOTYPES DEVELOPED].[All]" dimensionUniqueName="[Innovations_Department]" displayFolder="" count="0" memberValueDatatype="20" unbalanced="0"/>
    <cacheHierarchy uniqueName="[Innovations_Department].[PROTOTYPES ADOPTED]" caption="PROTOTYPES ADOPTED" attribute="1" defaultMemberUniqueName="[Innovations_Department].[PROTOTYPES ADOPTED].[All]" allUniqueName="[Innovations_Department].[PROTOTYPES ADOPTED].[All]" dimensionUniqueName="[Innovations_Department]" displayFolder="" count="0" memberValueDatatype="20" unbalanced="0"/>
    <cacheHierarchy uniqueName="[Innovations_Department].[SOLUTIONS COMMERCIALIZED]" caption="SOLUTIONS COMMERCIALIZED" attribute="1" defaultMemberUniqueName="[Innovations_Department].[SOLUTIONS COMMERCIALIZED].[All]" allUniqueName="[Innovations_Department].[SOLUTIONS COMMERCIALIZED].[All]" dimensionUniqueName="[Innovations_Department]" displayFolder="" count="0" memberValueDatatype="20" unbalanced="0"/>
    <cacheHierarchy uniqueName="[Innovations_Department].[EFFICIENCY GAINS]" caption="EFFICIENCY GAINS" attribute="1" defaultMemberUniqueName="[Innovations_Department].[EFFICIENCY GAINS].[All]" allUniqueName="[Innovations_Department].[EFFICIENCY GAINS].[All]" dimensionUniqueName="[Innovations_Department]" displayFolder="" count="0" memberValueDatatype="130" unbalanced="0"/>
    <cacheHierarchy uniqueName="[Innovations_Department].[COLLABORATION SCORE]" caption="COLLABORATION SCORE" attribute="1" defaultMemberUniqueName="[Innovations_Department].[COLLABORATION SCORE].[All]" allUniqueName="[Innovations_Department].[COLLABORATION SCORE].[All]" dimensionUniqueName="[Innovations_Department]" displayFolder="" count="0" memberValueDatatype="5" unbalanced="0"/>
    <cacheHierarchy uniqueName="[Measures].[Sum of PROTOTYPES DEVELOPED]" caption="Sum of PROTOTYPES DEVELOPED" measure="1" displayFolder="" measureGroup="Innovations_Department" count="0">
      <extLst>
        <ext xmlns:x15="http://schemas.microsoft.com/office/spreadsheetml/2010/11/main" uri="{B97F6D7D-B522-45F9-BDA1-12C45D357490}">
          <x15:cacheHierarchy aggregatedColumn="2"/>
        </ext>
      </extLst>
    </cacheHierarchy>
    <cacheHierarchy uniqueName="[Measures].[Sum of PROTOTYPES ADOPTED]" caption="Sum of PROTOTYPES ADOPTED" measure="1" displayFolder="" measureGroup="Innovations_Department" count="0">
      <extLst>
        <ext xmlns:x15="http://schemas.microsoft.com/office/spreadsheetml/2010/11/main" uri="{B97F6D7D-B522-45F9-BDA1-12C45D357490}">
          <x15:cacheHierarchy aggregatedColumn="3"/>
        </ext>
      </extLst>
    </cacheHierarchy>
    <cacheHierarchy uniqueName="[Measures].[Sum of SOLUTIONS COMMERCIALIZED]" caption="Sum of SOLUTIONS COMMERCIALIZED" measure="1" displayFolder="" measureGroup="Innovations_Department" count="0">
      <extLst>
        <ext xmlns:x15="http://schemas.microsoft.com/office/spreadsheetml/2010/11/main" uri="{B97F6D7D-B522-45F9-BDA1-12C45D357490}">
          <x15:cacheHierarchy aggregatedColumn="4"/>
        </ext>
      </extLst>
    </cacheHierarchy>
    <cacheHierarchy uniqueName="[Measures].[Sum of COLLABORATION SCORE]" caption="Sum of COLLABORATION SCORE" measure="1" displayFolder="" measureGroup="Innovations_Department" count="0">
      <extLst>
        <ext xmlns:x15="http://schemas.microsoft.com/office/spreadsheetml/2010/11/main" uri="{B97F6D7D-B522-45F9-BDA1-12C45D357490}">
          <x15:cacheHierarchy aggregatedColumn="6"/>
        </ext>
      </extLst>
    </cacheHierarchy>
    <cacheHierarchy uniqueName="[Measures].[Count of EFFICIENCY GAINS]" caption="Count of EFFICIENCY GAINS" measure="1" displayFolder="" measureGroup="Innovations_Department" count="0">
      <extLst>
        <ext xmlns:x15="http://schemas.microsoft.com/office/spreadsheetml/2010/11/main" uri="{B97F6D7D-B522-45F9-BDA1-12C45D357490}">
          <x15:cacheHierarchy aggregatedColumn="5"/>
        </ext>
      </extLst>
    </cacheHierarchy>
    <cacheHierarchy uniqueName="[Measures].[Percentage of Prototypes Adopted]" caption="Percentage of Prototypes Adopted" measure="1" displayFolder="" measureGroup="Innovations_Department" count="0"/>
    <cacheHierarchy uniqueName="[Measures].[__XL_Count Innovations_Department]" caption="__XL_Count Innovations_Department" measure="1" displayFolder="" measureGroup="Innovations_Departme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068140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0DF1B4-0B24-4E89-9093-557AA1E09F26}" name="PivotTable6" cacheId="6" applyNumberFormats="0" applyBorderFormats="0" applyFontFormats="0" applyPatternFormats="0" applyAlignmentFormats="0" applyWidthHeightFormats="1" dataCaption="Values" tag="af352a70-e648-498a-8c6b-ff0f581b7a2b" updatedVersion="8" minRefreshableVersion="3" useAutoFormatting="1" subtotalHiddenItems="1" itemPrintTitles="1" createdVersion="8" indent="0" outline="1" outlineData="1" multipleFieldFilters="0" rowHeaderCaption="QUARTER">
  <location ref="D11:F33"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s>
  <rowFields count="2">
    <field x="0"/>
    <field x="1"/>
  </rowFields>
  <rowItems count="22">
    <i>
      <x/>
    </i>
    <i r="1">
      <x/>
    </i>
    <i r="1">
      <x v="1"/>
    </i>
    <i r="1">
      <x v="2"/>
    </i>
    <i r="1">
      <x v="3"/>
    </i>
    <i r="1">
      <x v="4"/>
    </i>
    <i r="1">
      <x v="5"/>
    </i>
    <i>
      <x v="1"/>
    </i>
    <i r="1">
      <x v="6"/>
    </i>
    <i r="1">
      <x v="3"/>
    </i>
    <i r="1">
      <x v="5"/>
    </i>
    <i r="1">
      <x v="7"/>
    </i>
    <i>
      <x v="2"/>
    </i>
    <i r="1">
      <x v="5"/>
    </i>
    <i r="1">
      <x v="7"/>
    </i>
    <i r="1">
      <x v="8"/>
    </i>
    <i r="1">
      <x v="9"/>
    </i>
    <i>
      <x v="3"/>
    </i>
    <i r="1">
      <x v="10"/>
    </i>
    <i r="1">
      <x v="11"/>
    </i>
    <i r="1">
      <x v="12"/>
    </i>
    <i t="grand">
      <x/>
    </i>
  </rowItems>
  <colFields count="1">
    <field x="-2"/>
  </colFields>
  <colItems count="2">
    <i>
      <x/>
    </i>
    <i i="1">
      <x v="1"/>
    </i>
  </colItems>
  <dataFields count="2">
    <dataField name="Sum of PROTOTYPES ADOPTED" fld="2" baseField="0" baseItem="0"/>
    <dataField name="Sum of SOLUTIONS COMMERCIALIZED" fld="3"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356940-F8AE-41FF-930C-D1CBC430865F}" name="PivotTable5" cacheId="5" applyNumberFormats="0" applyBorderFormats="0" applyFontFormats="0" applyPatternFormats="0" applyAlignmentFormats="0" applyWidthHeightFormats="1" dataCaption="Values" tag="9c248290-ce3d-4529-ab22-a9fa3e1eef10" updatedVersion="8" minRefreshableVersion="3" useAutoFormatting="1" subtotalHiddenItems="1" itemPrintTitles="1" createdVersion="8" indent="0" outline="1" outlineData="1" multipleFieldFilters="0" chartFormat="7" rowHeaderCaption="EFFICIENCY GAINS">
  <location ref="A35:B49"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1"/>
  </rowFields>
  <rowItems count="14">
    <i>
      <x/>
    </i>
    <i>
      <x v="1"/>
    </i>
    <i>
      <x v="2"/>
    </i>
    <i>
      <x v="3"/>
    </i>
    <i>
      <x v="4"/>
    </i>
    <i>
      <x v="5"/>
    </i>
    <i>
      <x v="6"/>
    </i>
    <i>
      <x v="7"/>
    </i>
    <i>
      <x v="8"/>
    </i>
    <i>
      <x v="9"/>
    </i>
    <i>
      <x v="10"/>
    </i>
    <i>
      <x v="11"/>
    </i>
    <i>
      <x v="12"/>
    </i>
    <i t="grand">
      <x/>
    </i>
  </rowItems>
  <colItems count="1">
    <i/>
  </colItems>
  <pageFields count="1">
    <pageField fld="0" hier="1" name="[Innovations_Department].[QUARTER].[All]" cap="All"/>
  </pageFields>
  <dataFields count="1">
    <dataField name="Count of EFFICIENCY GAINS" fld="2"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DC7112-19D9-47AA-A328-D324BA87FE56}" name="PivotTable2" cacheId="2" applyNumberFormats="0" applyBorderFormats="0" applyFontFormats="0" applyPatternFormats="0" applyAlignmentFormats="0" applyWidthHeightFormats="1" dataCaption="Values" tag="c4a269f6-3ada-421d-8856-16bccf6053b6" updatedVersion="8" minRefreshableVersion="3" useAutoFormatting="1" subtotalHiddenItems="1" itemPrintTitles="1" createdVersion="8" indent="0" outline="1" outlineData="1" multipleFieldFilters="0" rowHeaderCaption="QUARTER">
  <location ref="D3:E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TOTYPES ADOPTED" fld="1"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5C211-7C9A-49B8-9381-5429B138DCBD}" name="PivotTable9" cacheId="8" applyNumberFormats="0" applyBorderFormats="0" applyFontFormats="0" applyPatternFormats="0" applyAlignmentFormats="0" applyWidthHeightFormats="1" dataCaption="Values" tag="b81e0197-5288-4985-9ab7-b222ef171b6c" updatedVersion="8" minRefreshableVersion="3" useAutoFormatting="1" subtotalHiddenItems="1" itemPrintTitles="1" createdVersion="8" indent="0" outline="1" outlineData="1" multipleFieldFilters="0" rowHeaderCaption="QUARTER">
  <location ref="H11:L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PROTOTYPES DEVELOPED" fld="0" baseField="0" baseItem="0"/>
    <dataField name="Sum of PROTOTYPES ADOPTED" fld="1" baseField="0" baseItem="0"/>
    <dataField name="Sum of SOLUTIONS COMMERCIALIZED" fld="2" baseField="0" baseItem="0"/>
    <dataField fld="3" subtotal="count" baseField="0" baseItem="0"/>
    <dataField name="Sum of COLLABORATION SCORE" fld="4"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3D024-642B-4D01-8F0A-1AB62D0F04E2}" name="PivotTable3" cacheId="3" applyNumberFormats="0" applyBorderFormats="0" applyFontFormats="0" applyPatternFormats="0" applyAlignmentFormats="0" applyWidthHeightFormats="1" dataCaption="Values" tag="5444abc7-a739-4afc-9910-8f38ebd39a04" updatedVersion="8" minRefreshableVersion="3" useAutoFormatting="1" subtotalHiddenItems="1" itemPrintTitles="1" createdVersion="8" indent="0" outline="1" outlineData="1" multipleFieldFilters="0" rowHeaderCaption="QUARTER">
  <location ref="A17:B2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OLUTIONS COMMERCIALIZED" fld="1"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CD1A53-9914-4DB3-A14A-F048BD09DADC}" name="PivotTable8" cacheId="0" applyNumberFormats="0" applyBorderFormats="0" applyFontFormats="0" applyPatternFormats="0" applyAlignmentFormats="0" applyWidthHeightFormats="1" dataCaption="Values" tag="d6eb8ba6-f0d2-4721-98dd-d1297913cd35" updatedVersion="8" minRefreshableVersion="3" useAutoFormatting="1" subtotalHiddenItems="1" itemPrintTitles="1" createdVersion="8" indent="0" outline="1" outlineData="1" multipleFieldFilters="0" rowHeaderCaption="QUARTER">
  <location ref="G3:I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PROTOTYPES DEVELOPED" fld="1" baseField="0" baseItem="0"/>
    <dataField name="Sum of PROTOTYPES ADOPTED" fld="2"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A85E10-2496-4F92-A1BE-262569F33973}" name="PivotTable7" cacheId="7" applyNumberFormats="0" applyBorderFormats="0" applyFontFormats="0" applyPatternFormats="0" applyAlignmentFormats="0" applyWidthHeightFormats="1" dataCaption="Values" tag="5c91d9ae-eb7e-463d-8350-0e5dd70cf69b" updatedVersion="8" minRefreshableVersion="3" useAutoFormatting="1" subtotalHiddenItems="1" itemPrintTitles="1" createdVersion="8" indent="0" outline="1" outlineData="1" multipleFieldFilters="0" chartFormat="12" rowHeaderCaption="QUARTER">
  <location ref="D36:F41"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PROTOTYPES DEVELOPED" fld="1" baseField="0" baseItem="0"/>
    <dataField name="COLLABORATION SCORE" fld="2" baseField="0" baseItem="0"/>
  </dataFields>
  <chartFormats count="6">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0" count="1" selected="0">
            <x v="0"/>
          </reference>
        </references>
      </pivotArea>
    </chartFormat>
    <chartFormat chart="6" format="7">
      <pivotArea type="data" outline="0" fieldPosition="0">
        <references count="2">
          <reference field="4294967294" count="1" selected="0">
            <x v="1"/>
          </reference>
          <reference field="0" count="1" selected="0">
            <x v="1"/>
          </reference>
        </references>
      </pivotArea>
    </chartFormat>
    <chartFormat chart="6" format="8">
      <pivotArea type="data" outline="0" fieldPosition="0">
        <references count="2">
          <reference field="4294967294" count="1" selected="0">
            <x v="1"/>
          </reference>
          <reference field="0" count="1" selected="0">
            <x v="2"/>
          </reference>
        </references>
      </pivotArea>
    </chartFormat>
    <chartFormat chart="6" format="9">
      <pivotArea type="data" outline="0" fieldPosition="0">
        <references count="2">
          <reference field="4294967294" count="1" selected="0">
            <x v="1"/>
          </reference>
          <reference field="0" count="1" selected="0">
            <x v="3"/>
          </reference>
        </references>
      </pivotArea>
    </chartFormat>
  </chartFormats>
  <pivotHierarchies count="15">
    <pivotHierarchy dragToData="1"/>
    <pivotHierarchy multipleItemSelectionAllowed="1" dragToData="1"/>
    <pivotHierarchy dragToData="1"/>
    <pivotHierarchy dragToData="1"/>
    <pivotHierarchy dragToData="1"/>
    <pivotHierarchy dragToData="1"/>
    <pivotHierarchy dragToData="1"/>
    <pivotHierarchy dragToData="1" caption="PROTOTYPES DEVELOPED"/>
    <pivotHierarchy dragToData="1"/>
    <pivotHierarchy dragToData="1"/>
    <pivotHierarchy dragToData="1" caption="COLLABORATION SCORE"/>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BE5EAF-CA9C-4751-9575-830F71973305}" name="PivotTable4" cacheId="4" applyNumberFormats="0" applyBorderFormats="0" applyFontFormats="0" applyPatternFormats="0" applyAlignmentFormats="0" applyWidthHeightFormats="1" dataCaption="Values" tag="303c4f40-8ef7-442e-aadc-aea34b288ccb" updatedVersion="8" minRefreshableVersion="3" useAutoFormatting="1" subtotalHiddenItems="1" itemPrintTitles="1" createdVersion="8" indent="0" outline="1" outlineData="1" multipleFieldFilters="0" rowHeaderCaption="QUARTER">
  <location ref="A25:B3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OLLABORATION SCORE" fld="1"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0A7173-30D6-4860-BA64-0E13221C36F8}" name="PivotTable1" cacheId="1" applyNumberFormats="0" applyBorderFormats="0" applyFontFormats="0" applyPatternFormats="0" applyAlignmentFormats="0" applyWidthHeightFormats="1" dataCaption="Values" tag="6b68b3e3-c5fd-4666-94bc-be1390110adc" updatedVersion="8" minRefreshableVersion="3" useAutoFormatting="1" subtotalHiddenItems="1" itemPrintTitles="1" createdVersion="8" indent="0" outline="1" outlineData="1" multipleFieldFilters="0" rowHeaderCaption="QUARTER">
  <location ref="A9:B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TOTYPES DEVELOPED" fld="1"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novations-kpi.xlsx!Innovations_Department">
        <x15:activeTabTopLevelEntity name="[Innovations_Departme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68FF41-B982-4C49-B0D4-5BF8927DEE05}" autoFormatId="16" applyNumberFormats="0" applyBorderFormats="0" applyFontFormats="0" applyPatternFormats="0" applyAlignmentFormats="0" applyWidthHeightFormats="0">
  <queryTableRefresh nextId="11">
    <queryTableFields count="7">
      <queryTableField id="2" name="DATE" tableColumnId="2"/>
      <queryTableField id="3" name="QUARTER" tableColumnId="3"/>
      <queryTableField id="4" name="PROTOTYPES DEVELOPED" tableColumnId="4"/>
      <queryTableField id="9" name="PROTOTYPES ADOPTED" tableColumnId="1"/>
      <queryTableField id="6" name="SOLUTIONS COMMERCIALIZED" tableColumnId="6"/>
      <queryTableField id="7" name="EFFICIENCY GAINS" tableColumnId="7"/>
      <queryTableField id="8" name="COLLABORATION SCOR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92D0BFF-88BE-41B1-BFFB-3F37524957E3}" sourceName="[Innovations_Department].[QUARTER]">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olap pivotCacheId="806814004">
      <levels count="2">
        <level uniqueName="[Innovations_Department].[QUARTER].[(All)]" sourceCaption="(All)" count="0"/>
        <level uniqueName="[Innovations_Department].[QUARTER].[QUARTER]" sourceCaption="QUARTER" count="4">
          <ranges>
            <range startItem="0">
              <i n="[Innovations_Department].[QUARTER].&amp;[Q1]" c="Q1"/>
              <i n="[Innovations_Department].[QUARTER].&amp;[Q2]" c="Q2"/>
              <i n="[Innovations_Department].[QUARTER].&amp;[Q3]" c="Q3"/>
              <i n="[Innovations_Department].[QUARTER].&amp;[Q4]" c="Q4"/>
            </range>
          </ranges>
        </level>
      </levels>
      <selections count="1">
        <selection n="[Innovations_Department].[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7C2E99C8-8743-48C3-8BE2-AB5B8D9FB425}" cache="Slicer_QUARTER" caption="QUARTER" columnCount="4" level="1"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79E3D-41B0-4AB5-A519-2699B7E212B2}" name="Innovations_Department" displayName="Innovations_Department" ref="A1:G19" tableType="queryTable" totalsRowShown="0">
  <autoFilter ref="A1:G19" xr:uid="{D6879E3D-41B0-4AB5-A519-2699B7E212B2}"/>
  <tableColumns count="7">
    <tableColumn id="2" xr3:uid="{4747BA21-CA37-4F2A-8DBF-52CA80F2E15A}" uniqueName="2" name="DATE" queryTableFieldId="2" dataDxfId="13"/>
    <tableColumn id="3" xr3:uid="{5783EDA8-127A-4DE9-AA7C-CD864AF2C802}" uniqueName="3" name="QUARTER" queryTableFieldId="3" dataDxfId="12"/>
    <tableColumn id="4" xr3:uid="{FA7D536F-337B-4CC9-B870-2B57C85F7511}" uniqueName="4" name="PROTOTYPES DEVELOPED" queryTableFieldId="4"/>
    <tableColumn id="1" xr3:uid="{353193D1-F162-4CA6-B8FC-6191144E168F}" uniqueName="1" name="PROTOTYPES ADOPTED" queryTableFieldId="9"/>
    <tableColumn id="6" xr3:uid="{23601BDD-591C-4F5E-AB37-C2C866C2448C}" uniqueName="6" name="SOLUTIONS COMMERCIALIZED" queryTableFieldId="6"/>
    <tableColumn id="7" xr3:uid="{4BC59707-43D1-4C6A-A243-3DC75BE9A0D0}" uniqueName="7" name="EFFICIENCY GAINS" queryTableFieldId="7" dataDxfId="11"/>
    <tableColumn id="8" xr3:uid="{DC7EC4E0-B225-4F20-907E-465AE1B4C80A}" uniqueName="8" name="COLLABORATION SCOR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D97F79-7262-4492-ACB6-3AB5B929AD26}" name="Table1" displayName="Table1" ref="A1:H19" totalsRowShown="0" headerRowDxfId="10" dataDxfId="9" tableBorderDxfId="8">
  <autoFilter ref="A1:H19" xr:uid="{38D97F79-7262-4492-ACB6-3AB5B929AD26}"/>
  <tableColumns count="8">
    <tableColumn id="1" xr3:uid="{7058B2B5-66B2-4941-84FF-22DB88CF3546}" name="S/N" dataDxfId="7"/>
    <tableColumn id="2" xr3:uid="{3CE4C8FF-4B1D-4778-81EC-8D8E10BFB7DB}" name="DATE" dataDxfId="6"/>
    <tableColumn id="3" xr3:uid="{7259AED1-B31B-46CE-9A89-012B1DD8071C}" name="QUARTER" dataDxfId="5">
      <calculatedColumnFormula>"Q"&amp;ROUNDUP(MONTH(B2)/3,0)</calculatedColumnFormula>
    </tableColumn>
    <tableColumn id="4" xr3:uid="{554C4944-FC63-4C0A-9129-371C2C569D2F}" name="PROTOTYPES DEVELOPED" dataDxfId="4"/>
    <tableColumn id="5" xr3:uid="{EB5163FE-B105-43D4-8F2B-A664E58822BC}" name="PROTOTYPES ADOPTED (%)" dataDxfId="3" dataCellStyle="Percent"/>
    <tableColumn id="6" xr3:uid="{B5C56B27-D71B-4D1D-BBBB-837D06EFE3A3}" name="SOLUTIONS COMMERCIALIZED" dataDxfId="2"/>
    <tableColumn id="7" xr3:uid="{09F303FC-D830-4D71-9D89-4EB8B13B828D}" name="EFFICIENCY GAINS" dataDxfId="1"/>
    <tableColumn id="8" xr3:uid="{2B2C6728-B488-465E-945F-DEFBB79F3990}" name="COLLABORATION 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EFA4-CCEF-4BE9-AB5E-2FA5F4ECB0B3}">
  <dimension ref="A3:L49"/>
  <sheetViews>
    <sheetView workbookViewId="0"/>
  </sheetViews>
  <sheetFormatPr defaultRowHeight="15" x14ac:dyDescent="0.25"/>
  <cols>
    <col min="1" max="1" width="20.5703125" bestFit="1" customWidth="1"/>
    <col min="2" max="2" width="26.85546875" bestFit="1" customWidth="1"/>
    <col min="3" max="3" width="13.42578125" bestFit="1" customWidth="1"/>
    <col min="4" max="4" width="11.85546875" bestFit="1" customWidth="1"/>
    <col min="5" max="5" width="24.7109375" bestFit="1" customWidth="1"/>
    <col min="6" max="6" width="23.7109375" bestFit="1" customWidth="1"/>
    <col min="7" max="7" width="11.85546875" bestFit="1" customWidth="1"/>
    <col min="8" max="8" width="31.7109375" bestFit="1" customWidth="1"/>
    <col min="9" max="9" width="29.28515625" bestFit="1" customWidth="1"/>
    <col min="10" max="10" width="36.140625" bestFit="1" customWidth="1"/>
    <col min="11" max="11" width="32.42578125" bestFit="1" customWidth="1"/>
    <col min="12" max="12" width="30.7109375" bestFit="1" customWidth="1"/>
    <col min="13" max="13" width="15" bestFit="1" customWidth="1"/>
    <col min="14" max="14" width="19.42578125" bestFit="1" customWidth="1"/>
    <col min="15" max="15" width="11.28515625" bestFit="1" customWidth="1"/>
  </cols>
  <sheetData>
    <row r="3" spans="1:12" x14ac:dyDescent="0.25">
      <c r="D3" s="5" t="s">
        <v>1</v>
      </c>
      <c r="E3" t="s">
        <v>31</v>
      </c>
      <c r="G3" s="5" t="s">
        <v>1</v>
      </c>
      <c r="H3" t="s">
        <v>26</v>
      </c>
      <c r="I3" t="s">
        <v>31</v>
      </c>
    </row>
    <row r="4" spans="1:12" x14ac:dyDescent="0.25">
      <c r="D4" s="6" t="s">
        <v>21</v>
      </c>
      <c r="E4">
        <v>11</v>
      </c>
      <c r="G4" s="6" t="s">
        <v>21</v>
      </c>
      <c r="H4">
        <v>43</v>
      </c>
      <c r="I4">
        <v>11</v>
      </c>
    </row>
    <row r="5" spans="1:12" x14ac:dyDescent="0.25">
      <c r="D5" s="6" t="s">
        <v>22</v>
      </c>
      <c r="E5">
        <v>14</v>
      </c>
      <c r="G5" s="6" t="s">
        <v>22</v>
      </c>
      <c r="H5">
        <v>42</v>
      </c>
      <c r="I5">
        <v>14</v>
      </c>
    </row>
    <row r="6" spans="1:12" x14ac:dyDescent="0.25">
      <c r="D6" s="6" t="s">
        <v>23</v>
      </c>
      <c r="E6">
        <v>13</v>
      </c>
      <c r="G6" s="6" t="s">
        <v>23</v>
      </c>
      <c r="H6">
        <v>53</v>
      </c>
      <c r="I6">
        <v>13</v>
      </c>
    </row>
    <row r="7" spans="1:12" x14ac:dyDescent="0.25">
      <c r="D7" s="6" t="s">
        <v>24</v>
      </c>
      <c r="E7">
        <v>3</v>
      </c>
      <c r="G7" s="6" t="s">
        <v>24</v>
      </c>
      <c r="H7">
        <v>31</v>
      </c>
      <c r="I7">
        <v>3</v>
      </c>
    </row>
    <row r="8" spans="1:12" x14ac:dyDescent="0.25">
      <c r="D8" s="6" t="s">
        <v>25</v>
      </c>
      <c r="E8">
        <v>41</v>
      </c>
      <c r="G8" s="6" t="s">
        <v>25</v>
      </c>
      <c r="H8">
        <v>169</v>
      </c>
      <c r="I8">
        <v>41</v>
      </c>
    </row>
    <row r="9" spans="1:12" x14ac:dyDescent="0.25">
      <c r="A9" s="5" t="s">
        <v>1</v>
      </c>
      <c r="B9" t="s">
        <v>26</v>
      </c>
    </row>
    <row r="10" spans="1:12" x14ac:dyDescent="0.25">
      <c r="A10" s="6" t="s">
        <v>21</v>
      </c>
      <c r="B10">
        <v>43</v>
      </c>
    </row>
    <row r="11" spans="1:12" x14ac:dyDescent="0.25">
      <c r="A11" s="6" t="s">
        <v>22</v>
      </c>
      <c r="B11">
        <v>42</v>
      </c>
      <c r="D11" s="5" t="s">
        <v>1</v>
      </c>
      <c r="E11" t="s">
        <v>31</v>
      </c>
      <c r="F11" t="s">
        <v>27</v>
      </c>
      <c r="H11" t="s">
        <v>26</v>
      </c>
      <c r="I11" t="s">
        <v>31</v>
      </c>
      <c r="J11" t="s">
        <v>27</v>
      </c>
      <c r="K11" t="s">
        <v>33</v>
      </c>
      <c r="L11" t="s">
        <v>28</v>
      </c>
    </row>
    <row r="12" spans="1:12" x14ac:dyDescent="0.25">
      <c r="A12" s="6" t="s">
        <v>23</v>
      </c>
      <c r="B12">
        <v>53</v>
      </c>
      <c r="D12" s="6" t="s">
        <v>21</v>
      </c>
      <c r="H12">
        <v>169</v>
      </c>
      <c r="I12">
        <v>41</v>
      </c>
      <c r="J12">
        <v>87</v>
      </c>
      <c r="K12" s="9">
        <v>24.260355029585799</v>
      </c>
      <c r="L12">
        <v>109</v>
      </c>
    </row>
    <row r="13" spans="1:12" x14ac:dyDescent="0.25">
      <c r="A13" s="6" t="s">
        <v>24</v>
      </c>
      <c r="B13">
        <v>31</v>
      </c>
      <c r="D13" s="7" t="s">
        <v>9</v>
      </c>
      <c r="E13">
        <v>3</v>
      </c>
      <c r="F13">
        <v>2</v>
      </c>
    </row>
    <row r="14" spans="1:12" x14ac:dyDescent="0.25">
      <c r="A14" s="6" t="s">
        <v>25</v>
      </c>
      <c r="B14">
        <v>169</v>
      </c>
      <c r="D14" s="7" t="s">
        <v>19</v>
      </c>
      <c r="E14">
        <v>2</v>
      </c>
      <c r="F14">
        <v>1</v>
      </c>
    </row>
    <row r="15" spans="1:12" x14ac:dyDescent="0.25">
      <c r="D15" s="7" t="s">
        <v>14</v>
      </c>
      <c r="E15">
        <v>2</v>
      </c>
      <c r="F15">
        <v>4</v>
      </c>
    </row>
    <row r="16" spans="1:12" x14ac:dyDescent="0.25">
      <c r="D16" s="7" t="s">
        <v>10</v>
      </c>
      <c r="E16">
        <v>2</v>
      </c>
      <c r="F16">
        <v>5</v>
      </c>
    </row>
    <row r="17" spans="1:6" x14ac:dyDescent="0.25">
      <c r="A17" s="5" t="s">
        <v>1</v>
      </c>
      <c r="B17" t="s">
        <v>27</v>
      </c>
      <c r="D17" s="7" t="s">
        <v>15</v>
      </c>
      <c r="E17">
        <v>0</v>
      </c>
      <c r="F17">
        <v>4</v>
      </c>
    </row>
    <row r="18" spans="1:6" x14ac:dyDescent="0.25">
      <c r="A18" s="6" t="s">
        <v>21</v>
      </c>
      <c r="B18">
        <v>19</v>
      </c>
      <c r="D18" s="7" t="s">
        <v>8</v>
      </c>
      <c r="E18">
        <v>2</v>
      </c>
      <c r="F18">
        <v>3</v>
      </c>
    </row>
    <row r="19" spans="1:6" x14ac:dyDescent="0.25">
      <c r="A19" s="6" t="s">
        <v>22</v>
      </c>
      <c r="B19">
        <v>20</v>
      </c>
      <c r="D19" s="6" t="s">
        <v>22</v>
      </c>
    </row>
    <row r="20" spans="1:6" x14ac:dyDescent="0.25">
      <c r="A20" s="6" t="s">
        <v>23</v>
      </c>
      <c r="B20">
        <v>29</v>
      </c>
      <c r="D20" s="7" t="s">
        <v>16</v>
      </c>
      <c r="E20">
        <v>4</v>
      </c>
      <c r="F20">
        <v>6</v>
      </c>
    </row>
    <row r="21" spans="1:6" x14ac:dyDescent="0.25">
      <c r="A21" s="6" t="s">
        <v>24</v>
      </c>
      <c r="B21">
        <v>19</v>
      </c>
      <c r="D21" s="7" t="s">
        <v>10</v>
      </c>
      <c r="E21">
        <v>4</v>
      </c>
      <c r="F21">
        <v>1</v>
      </c>
    </row>
    <row r="22" spans="1:6" x14ac:dyDescent="0.25">
      <c r="A22" s="6" t="s">
        <v>25</v>
      </c>
      <c r="B22">
        <v>87</v>
      </c>
      <c r="D22" s="7" t="s">
        <v>8</v>
      </c>
      <c r="E22">
        <v>2</v>
      </c>
      <c r="F22">
        <v>5</v>
      </c>
    </row>
    <row r="23" spans="1:6" x14ac:dyDescent="0.25">
      <c r="D23" s="7" t="s">
        <v>11</v>
      </c>
      <c r="E23">
        <v>4</v>
      </c>
      <c r="F23">
        <v>8</v>
      </c>
    </row>
    <row r="24" spans="1:6" x14ac:dyDescent="0.25">
      <c r="D24" s="6" t="s">
        <v>23</v>
      </c>
    </row>
    <row r="25" spans="1:6" x14ac:dyDescent="0.25">
      <c r="A25" s="5" t="s">
        <v>1</v>
      </c>
      <c r="B25" t="s">
        <v>28</v>
      </c>
      <c r="D25" s="7" t="s">
        <v>8</v>
      </c>
      <c r="E25">
        <v>1</v>
      </c>
      <c r="F25">
        <v>8</v>
      </c>
    </row>
    <row r="26" spans="1:6" x14ac:dyDescent="0.25">
      <c r="A26" s="6" t="s">
        <v>21</v>
      </c>
      <c r="B26">
        <v>38.6</v>
      </c>
      <c r="D26" s="7" t="s">
        <v>11</v>
      </c>
      <c r="E26">
        <v>4</v>
      </c>
      <c r="F26">
        <v>13</v>
      </c>
    </row>
    <row r="27" spans="1:6" x14ac:dyDescent="0.25">
      <c r="A27" s="6" t="s">
        <v>22</v>
      </c>
      <c r="B27">
        <v>23.6</v>
      </c>
      <c r="D27" s="7" t="s">
        <v>12</v>
      </c>
      <c r="E27">
        <v>5</v>
      </c>
      <c r="F27">
        <v>4</v>
      </c>
    </row>
    <row r="28" spans="1:6" x14ac:dyDescent="0.25">
      <c r="A28" s="6" t="s">
        <v>23</v>
      </c>
      <c r="B28">
        <v>30.5</v>
      </c>
      <c r="D28" s="7" t="s">
        <v>17</v>
      </c>
      <c r="E28">
        <v>3</v>
      </c>
      <c r="F28">
        <v>4</v>
      </c>
    </row>
    <row r="29" spans="1:6" x14ac:dyDescent="0.25">
      <c r="A29" s="6" t="s">
        <v>24</v>
      </c>
      <c r="B29">
        <v>16.3</v>
      </c>
      <c r="D29" s="6" t="s">
        <v>24</v>
      </c>
    </row>
    <row r="30" spans="1:6" x14ac:dyDescent="0.25">
      <c r="A30" s="6" t="s">
        <v>25</v>
      </c>
      <c r="B30">
        <v>109</v>
      </c>
      <c r="D30" s="7" t="s">
        <v>13</v>
      </c>
      <c r="E30">
        <v>1</v>
      </c>
      <c r="F30">
        <v>2</v>
      </c>
    </row>
    <row r="31" spans="1:6" x14ac:dyDescent="0.25">
      <c r="D31" s="7" t="s">
        <v>20</v>
      </c>
      <c r="E31">
        <v>2</v>
      </c>
      <c r="F31">
        <v>10</v>
      </c>
    </row>
    <row r="32" spans="1:6" x14ac:dyDescent="0.25">
      <c r="D32" s="7" t="s">
        <v>18</v>
      </c>
      <c r="E32">
        <v>0</v>
      </c>
      <c r="F32">
        <v>7</v>
      </c>
    </row>
    <row r="33" spans="1:6" x14ac:dyDescent="0.25">
      <c r="A33" s="5" t="s">
        <v>1</v>
      </c>
      <c r="B33" t="s" vm="1">
        <v>32</v>
      </c>
      <c r="D33" s="6" t="s">
        <v>25</v>
      </c>
      <c r="E33">
        <v>41</v>
      </c>
      <c r="F33">
        <v>87</v>
      </c>
    </row>
    <row r="35" spans="1:6" x14ac:dyDescent="0.25">
      <c r="A35" s="5" t="s">
        <v>6</v>
      </c>
      <c r="B35" t="s">
        <v>29</v>
      </c>
    </row>
    <row r="36" spans="1:6" x14ac:dyDescent="0.25">
      <c r="A36" s="6" t="s">
        <v>9</v>
      </c>
      <c r="B36">
        <v>1</v>
      </c>
      <c r="D36" s="5" t="s">
        <v>1</v>
      </c>
      <c r="E36" t="s">
        <v>3</v>
      </c>
      <c r="F36" t="s">
        <v>7</v>
      </c>
    </row>
    <row r="37" spans="1:6" x14ac:dyDescent="0.25">
      <c r="A37" s="6" t="s">
        <v>16</v>
      </c>
      <c r="B37">
        <v>1</v>
      </c>
      <c r="D37" s="6" t="s">
        <v>21</v>
      </c>
      <c r="E37">
        <v>43</v>
      </c>
      <c r="F37">
        <v>38.6</v>
      </c>
    </row>
    <row r="38" spans="1:6" x14ac:dyDescent="0.25">
      <c r="A38" s="6" t="s">
        <v>13</v>
      </c>
      <c r="B38">
        <v>1</v>
      </c>
      <c r="D38" s="6" t="s">
        <v>22</v>
      </c>
      <c r="E38">
        <v>42</v>
      </c>
      <c r="F38">
        <v>23.6</v>
      </c>
    </row>
    <row r="39" spans="1:6" x14ac:dyDescent="0.25">
      <c r="A39" s="6" t="s">
        <v>19</v>
      </c>
      <c r="B39">
        <v>1</v>
      </c>
      <c r="D39" s="6" t="s">
        <v>23</v>
      </c>
      <c r="E39">
        <v>53</v>
      </c>
      <c r="F39">
        <v>30.5</v>
      </c>
    </row>
    <row r="40" spans="1:6" x14ac:dyDescent="0.25">
      <c r="A40" s="6" t="s">
        <v>20</v>
      </c>
      <c r="B40">
        <v>1</v>
      </c>
      <c r="D40" s="6" t="s">
        <v>24</v>
      </c>
      <c r="E40">
        <v>31</v>
      </c>
      <c r="F40">
        <v>16.3</v>
      </c>
    </row>
    <row r="41" spans="1:6" x14ac:dyDescent="0.25">
      <c r="A41" s="6" t="s">
        <v>14</v>
      </c>
      <c r="B41">
        <v>1</v>
      </c>
      <c r="D41" s="6" t="s">
        <v>25</v>
      </c>
      <c r="E41">
        <v>169</v>
      </c>
      <c r="F41">
        <v>109</v>
      </c>
    </row>
    <row r="42" spans="1:6" x14ac:dyDescent="0.25">
      <c r="A42" s="6" t="s">
        <v>10</v>
      </c>
      <c r="B42">
        <v>2</v>
      </c>
    </row>
    <row r="43" spans="1:6" x14ac:dyDescent="0.25">
      <c r="A43" s="6" t="s">
        <v>15</v>
      </c>
      <c r="B43">
        <v>1</v>
      </c>
    </row>
    <row r="44" spans="1:6" x14ac:dyDescent="0.25">
      <c r="A44" s="6" t="s">
        <v>8</v>
      </c>
      <c r="B44">
        <v>3</v>
      </c>
    </row>
    <row r="45" spans="1:6" x14ac:dyDescent="0.25">
      <c r="A45" s="6" t="s">
        <v>11</v>
      </c>
      <c r="B45">
        <v>3</v>
      </c>
    </row>
    <row r="46" spans="1:6" x14ac:dyDescent="0.25">
      <c r="A46" s="6" t="s">
        <v>12</v>
      </c>
      <c r="B46">
        <v>1</v>
      </c>
    </row>
    <row r="47" spans="1:6" x14ac:dyDescent="0.25">
      <c r="A47" s="6" t="s">
        <v>18</v>
      </c>
      <c r="B47">
        <v>1</v>
      </c>
    </row>
    <row r="48" spans="1:6" x14ac:dyDescent="0.25">
      <c r="A48" s="6" t="s">
        <v>17</v>
      </c>
      <c r="B48">
        <v>1</v>
      </c>
    </row>
    <row r="49" spans="1:2" x14ac:dyDescent="0.25">
      <c r="A49" s="6" t="s">
        <v>25</v>
      </c>
      <c r="B49">
        <v>18</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F04E-47A0-4552-88B9-D973D5958D24}">
  <dimension ref="A1"/>
  <sheetViews>
    <sheetView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20D6-C4FC-4C71-9B12-BD118F466D0A}">
  <dimension ref="A1:G19"/>
  <sheetViews>
    <sheetView workbookViewId="0"/>
  </sheetViews>
  <sheetFormatPr defaultRowHeight="15" x14ac:dyDescent="0.25"/>
  <cols>
    <col min="1" max="1" width="10.42578125" bestFit="1" customWidth="1"/>
    <col min="2" max="2" width="11.85546875" bestFit="1" customWidth="1"/>
    <col min="3" max="3" width="27" bestFit="1" customWidth="1"/>
    <col min="4" max="4" width="24.7109375" bestFit="1" customWidth="1"/>
    <col min="5" max="5" width="31.42578125" bestFit="1" customWidth="1"/>
    <col min="6" max="6" width="20.5703125" bestFit="1" customWidth="1"/>
    <col min="7" max="9" width="26" bestFit="1" customWidth="1"/>
  </cols>
  <sheetData>
    <row r="1" spans="1:7" x14ac:dyDescent="0.25">
      <c r="A1" t="s">
        <v>2</v>
      </c>
      <c r="B1" t="s">
        <v>1</v>
      </c>
      <c r="C1" t="s">
        <v>3</v>
      </c>
      <c r="D1" t="s">
        <v>30</v>
      </c>
      <c r="E1" t="s">
        <v>5</v>
      </c>
      <c r="F1" t="s">
        <v>6</v>
      </c>
      <c r="G1" t="s">
        <v>7</v>
      </c>
    </row>
    <row r="2" spans="1:7" x14ac:dyDescent="0.25">
      <c r="A2" s="4">
        <v>44938</v>
      </c>
      <c r="B2" t="s">
        <v>21</v>
      </c>
      <c r="C2">
        <v>5</v>
      </c>
      <c r="D2">
        <v>2</v>
      </c>
      <c r="E2">
        <v>3</v>
      </c>
      <c r="F2" t="s">
        <v>8</v>
      </c>
      <c r="G2">
        <v>8.5</v>
      </c>
    </row>
    <row r="3" spans="1:7" x14ac:dyDescent="0.25">
      <c r="A3" s="4">
        <v>44987</v>
      </c>
      <c r="B3" t="s">
        <v>21</v>
      </c>
      <c r="C3">
        <v>7</v>
      </c>
      <c r="D3">
        <v>3</v>
      </c>
      <c r="E3">
        <v>2</v>
      </c>
      <c r="F3" t="s">
        <v>9</v>
      </c>
      <c r="G3">
        <v>7.2</v>
      </c>
    </row>
    <row r="4" spans="1:7" x14ac:dyDescent="0.25">
      <c r="A4" s="4">
        <v>45041</v>
      </c>
      <c r="B4" t="s">
        <v>22</v>
      </c>
      <c r="C4">
        <v>6</v>
      </c>
      <c r="D4">
        <v>4</v>
      </c>
      <c r="E4">
        <v>1</v>
      </c>
      <c r="F4" t="s">
        <v>10</v>
      </c>
      <c r="G4">
        <v>6.8</v>
      </c>
    </row>
    <row r="5" spans="1:7" x14ac:dyDescent="0.25">
      <c r="A5" s="4">
        <v>45118</v>
      </c>
      <c r="B5" t="s">
        <v>23</v>
      </c>
      <c r="C5">
        <v>8</v>
      </c>
      <c r="D5">
        <v>0</v>
      </c>
      <c r="E5">
        <v>5</v>
      </c>
      <c r="F5" t="s">
        <v>11</v>
      </c>
      <c r="G5">
        <v>7.9</v>
      </c>
    </row>
    <row r="6" spans="1:7" x14ac:dyDescent="0.25">
      <c r="A6" s="4">
        <v>45173</v>
      </c>
      <c r="B6" t="s">
        <v>23</v>
      </c>
      <c r="C6">
        <v>8</v>
      </c>
      <c r="D6">
        <v>5</v>
      </c>
      <c r="E6">
        <v>4</v>
      </c>
      <c r="F6" t="s">
        <v>12</v>
      </c>
      <c r="G6">
        <v>7</v>
      </c>
    </row>
    <row r="7" spans="1:7" x14ac:dyDescent="0.25">
      <c r="A7" s="4">
        <v>45250</v>
      </c>
      <c r="B7" t="s">
        <v>24</v>
      </c>
      <c r="C7">
        <v>2</v>
      </c>
      <c r="D7">
        <v>1</v>
      </c>
      <c r="E7">
        <v>2</v>
      </c>
      <c r="F7" t="s">
        <v>13</v>
      </c>
      <c r="G7">
        <v>6.8</v>
      </c>
    </row>
    <row r="8" spans="1:7" x14ac:dyDescent="0.25">
      <c r="A8" s="4">
        <v>45292</v>
      </c>
      <c r="B8" t="s">
        <v>21</v>
      </c>
      <c r="C8">
        <v>10</v>
      </c>
      <c r="D8">
        <v>2</v>
      </c>
      <c r="E8">
        <v>4</v>
      </c>
      <c r="F8" t="s">
        <v>14</v>
      </c>
      <c r="G8">
        <v>6.6</v>
      </c>
    </row>
    <row r="9" spans="1:7" x14ac:dyDescent="0.25">
      <c r="A9" s="4">
        <v>45325</v>
      </c>
      <c r="B9" t="s">
        <v>21</v>
      </c>
      <c r="C9">
        <v>11</v>
      </c>
      <c r="D9">
        <v>0</v>
      </c>
      <c r="E9">
        <v>4</v>
      </c>
      <c r="F9" t="s">
        <v>15</v>
      </c>
      <c r="G9">
        <v>6.4</v>
      </c>
    </row>
    <row r="10" spans="1:7" x14ac:dyDescent="0.25">
      <c r="A10" s="4">
        <v>45398</v>
      </c>
      <c r="B10" t="s">
        <v>22</v>
      </c>
      <c r="C10">
        <v>7</v>
      </c>
      <c r="D10">
        <v>2</v>
      </c>
      <c r="E10">
        <v>5</v>
      </c>
      <c r="F10" t="s">
        <v>8</v>
      </c>
      <c r="G10">
        <v>6.2</v>
      </c>
    </row>
    <row r="11" spans="1:7" x14ac:dyDescent="0.25">
      <c r="A11" s="4">
        <v>45471</v>
      </c>
      <c r="B11" t="s">
        <v>22</v>
      </c>
      <c r="C11">
        <v>12</v>
      </c>
      <c r="D11">
        <v>4</v>
      </c>
      <c r="E11">
        <v>6</v>
      </c>
      <c r="F11" t="s">
        <v>16</v>
      </c>
      <c r="G11">
        <v>6</v>
      </c>
    </row>
    <row r="12" spans="1:7" x14ac:dyDescent="0.25">
      <c r="A12" s="4">
        <v>45484</v>
      </c>
      <c r="B12" t="s">
        <v>23</v>
      </c>
      <c r="C12">
        <v>5</v>
      </c>
      <c r="D12">
        <v>3</v>
      </c>
      <c r="E12">
        <v>4</v>
      </c>
      <c r="F12" t="s">
        <v>17</v>
      </c>
      <c r="G12">
        <v>5.7</v>
      </c>
    </row>
    <row r="13" spans="1:7" x14ac:dyDescent="0.25">
      <c r="A13" s="4">
        <v>45549</v>
      </c>
      <c r="B13" t="s">
        <v>23</v>
      </c>
      <c r="C13">
        <v>14</v>
      </c>
      <c r="D13">
        <v>4</v>
      </c>
      <c r="E13">
        <v>8</v>
      </c>
      <c r="F13" t="s">
        <v>11</v>
      </c>
      <c r="G13">
        <v>5.5</v>
      </c>
    </row>
    <row r="14" spans="1:7" x14ac:dyDescent="0.25">
      <c r="A14" s="4">
        <v>45614</v>
      </c>
      <c r="B14" t="s">
        <v>24</v>
      </c>
      <c r="C14">
        <v>10</v>
      </c>
      <c r="D14">
        <v>0</v>
      </c>
      <c r="E14">
        <v>7</v>
      </c>
      <c r="F14" t="s">
        <v>18</v>
      </c>
      <c r="G14">
        <v>5.3</v>
      </c>
    </row>
    <row r="15" spans="1:7" x14ac:dyDescent="0.25">
      <c r="A15" s="4">
        <v>45679</v>
      </c>
      <c r="B15" t="s">
        <v>21</v>
      </c>
      <c r="C15">
        <v>4</v>
      </c>
      <c r="D15">
        <v>2</v>
      </c>
      <c r="E15">
        <v>1</v>
      </c>
      <c r="F15" t="s">
        <v>19</v>
      </c>
      <c r="G15">
        <v>5.0999999999999996</v>
      </c>
    </row>
    <row r="16" spans="1:7" x14ac:dyDescent="0.25">
      <c r="A16" s="4">
        <v>45744</v>
      </c>
      <c r="B16" t="s">
        <v>21</v>
      </c>
      <c r="C16">
        <v>6</v>
      </c>
      <c r="D16">
        <v>2</v>
      </c>
      <c r="E16">
        <v>5</v>
      </c>
      <c r="F16" t="s">
        <v>10</v>
      </c>
      <c r="G16">
        <v>4.8</v>
      </c>
    </row>
    <row r="17" spans="1:7" x14ac:dyDescent="0.25">
      <c r="A17" s="4">
        <v>45809</v>
      </c>
      <c r="B17" t="s">
        <v>22</v>
      </c>
      <c r="C17">
        <v>17</v>
      </c>
      <c r="D17">
        <v>4</v>
      </c>
      <c r="E17">
        <v>8</v>
      </c>
      <c r="F17" t="s">
        <v>11</v>
      </c>
      <c r="G17">
        <v>4.5999999999999996</v>
      </c>
    </row>
    <row r="18" spans="1:7" x14ac:dyDescent="0.25">
      <c r="A18" s="4">
        <v>45874</v>
      </c>
      <c r="B18" t="s">
        <v>23</v>
      </c>
      <c r="C18">
        <v>18</v>
      </c>
      <c r="D18">
        <v>1</v>
      </c>
      <c r="E18">
        <v>8</v>
      </c>
      <c r="F18" t="s">
        <v>8</v>
      </c>
      <c r="G18">
        <v>4.4000000000000004</v>
      </c>
    </row>
    <row r="19" spans="1:7" x14ac:dyDescent="0.25">
      <c r="A19" s="4">
        <v>45939</v>
      </c>
      <c r="B19" t="s">
        <v>24</v>
      </c>
      <c r="C19">
        <v>19</v>
      </c>
      <c r="D19">
        <v>2</v>
      </c>
      <c r="E19">
        <v>10</v>
      </c>
      <c r="F19" t="s">
        <v>20</v>
      </c>
      <c r="G19">
        <v>4.2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8550-0E26-49AB-A5BC-EFF418F52534}">
  <dimension ref="A1:H19"/>
  <sheetViews>
    <sheetView zoomScale="96" zoomScaleNormal="96" workbookViewId="0"/>
  </sheetViews>
  <sheetFormatPr defaultRowHeight="15" x14ac:dyDescent="0.25"/>
  <cols>
    <col min="1" max="1" width="6" customWidth="1"/>
    <col min="2" max="2" width="11.28515625" style="1" bestFit="1" customWidth="1"/>
    <col min="3" max="3" width="11.140625" customWidth="1"/>
    <col min="4" max="4" width="25.28515625" customWidth="1"/>
    <col min="5" max="5" width="26.28515625" customWidth="1"/>
    <col min="6" max="6" width="29.7109375" customWidth="1"/>
    <col min="7" max="7" width="19.42578125" customWidth="1"/>
    <col min="8" max="8" width="24.28515625" customWidth="1"/>
  </cols>
  <sheetData>
    <row r="1" spans="1:8" ht="32.25" customHeight="1" x14ac:dyDescent="0.25">
      <c r="A1" s="2" t="s">
        <v>0</v>
      </c>
      <c r="B1" s="3" t="s">
        <v>2</v>
      </c>
      <c r="C1" s="2" t="s">
        <v>1</v>
      </c>
      <c r="D1" s="2" t="s">
        <v>3</v>
      </c>
      <c r="E1" s="2" t="s">
        <v>4</v>
      </c>
      <c r="F1" s="2" t="s">
        <v>5</v>
      </c>
      <c r="G1" s="2" t="s">
        <v>6</v>
      </c>
      <c r="H1" s="2" t="s">
        <v>7</v>
      </c>
    </row>
    <row r="2" spans="1:8" x14ac:dyDescent="0.25">
      <c r="A2" s="10">
        <v>1</v>
      </c>
      <c r="B2" s="11">
        <v>44938</v>
      </c>
      <c r="C2" s="10" t="str">
        <f>"Q"&amp;ROUNDUP(MONTH(B2)/3,0)</f>
        <v>Q1</v>
      </c>
      <c r="D2" s="12">
        <v>5</v>
      </c>
      <c r="E2" s="8">
        <v>2</v>
      </c>
      <c r="F2" s="12">
        <v>3</v>
      </c>
      <c r="G2" s="10" t="s">
        <v>8</v>
      </c>
      <c r="H2" s="13">
        <v>8.5</v>
      </c>
    </row>
    <row r="3" spans="1:8" x14ac:dyDescent="0.25">
      <c r="A3" s="10">
        <v>2</v>
      </c>
      <c r="B3" s="11">
        <v>44987</v>
      </c>
      <c r="C3" s="10" t="str">
        <f t="shared" ref="C3:C19" si="0">"Q"&amp;ROUNDUP(MONTH(B3)/3,0)</f>
        <v>Q1</v>
      </c>
      <c r="D3" s="12">
        <v>7</v>
      </c>
      <c r="E3" s="8">
        <v>3</v>
      </c>
      <c r="F3" s="12">
        <v>2</v>
      </c>
      <c r="G3" s="10" t="s">
        <v>9</v>
      </c>
      <c r="H3" s="13">
        <v>7.2</v>
      </c>
    </row>
    <row r="4" spans="1:8" x14ac:dyDescent="0.25">
      <c r="A4" s="10">
        <v>3</v>
      </c>
      <c r="B4" s="11">
        <v>45041</v>
      </c>
      <c r="C4" s="10" t="str">
        <f t="shared" si="0"/>
        <v>Q2</v>
      </c>
      <c r="D4" s="12">
        <v>6</v>
      </c>
      <c r="E4" s="8">
        <v>4</v>
      </c>
      <c r="F4" s="12">
        <v>1</v>
      </c>
      <c r="G4" s="10" t="s">
        <v>10</v>
      </c>
      <c r="H4" s="13">
        <v>6.8</v>
      </c>
    </row>
    <row r="5" spans="1:8" x14ac:dyDescent="0.25">
      <c r="A5" s="10">
        <v>4</v>
      </c>
      <c r="B5" s="11">
        <v>45118</v>
      </c>
      <c r="C5" s="10" t="str">
        <f t="shared" si="0"/>
        <v>Q3</v>
      </c>
      <c r="D5" s="12">
        <v>8</v>
      </c>
      <c r="E5" s="8">
        <v>0</v>
      </c>
      <c r="F5" s="12">
        <v>5</v>
      </c>
      <c r="G5" s="10" t="s">
        <v>11</v>
      </c>
      <c r="H5" s="13">
        <v>7.9</v>
      </c>
    </row>
    <row r="6" spans="1:8" x14ac:dyDescent="0.25">
      <c r="A6" s="10">
        <v>5</v>
      </c>
      <c r="B6" s="11">
        <v>45173</v>
      </c>
      <c r="C6" s="10" t="str">
        <f t="shared" si="0"/>
        <v>Q3</v>
      </c>
      <c r="D6" s="12">
        <v>8.5</v>
      </c>
      <c r="E6" s="8">
        <v>5</v>
      </c>
      <c r="F6" s="12">
        <v>4</v>
      </c>
      <c r="G6" s="10" t="s">
        <v>12</v>
      </c>
      <c r="H6" s="13">
        <v>7.05</v>
      </c>
    </row>
    <row r="7" spans="1:8" x14ac:dyDescent="0.25">
      <c r="A7" s="10">
        <v>6</v>
      </c>
      <c r="B7" s="11">
        <v>45250</v>
      </c>
      <c r="C7" s="10" t="str">
        <f t="shared" si="0"/>
        <v>Q4</v>
      </c>
      <c r="D7" s="12">
        <v>2</v>
      </c>
      <c r="E7" s="8">
        <v>1</v>
      </c>
      <c r="F7" s="12">
        <v>2</v>
      </c>
      <c r="G7" s="10" t="s">
        <v>13</v>
      </c>
      <c r="H7" s="13">
        <v>6.83</v>
      </c>
    </row>
    <row r="8" spans="1:8" x14ac:dyDescent="0.25">
      <c r="A8" s="10">
        <v>7</v>
      </c>
      <c r="B8" s="11">
        <v>45292</v>
      </c>
      <c r="C8" s="10" t="str">
        <f t="shared" si="0"/>
        <v>Q1</v>
      </c>
      <c r="D8" s="12">
        <v>10.1</v>
      </c>
      <c r="E8" s="8">
        <v>2</v>
      </c>
      <c r="F8" s="12">
        <v>4</v>
      </c>
      <c r="G8" s="10" t="s">
        <v>14</v>
      </c>
      <c r="H8" s="13">
        <v>6.61</v>
      </c>
    </row>
    <row r="9" spans="1:8" x14ac:dyDescent="0.25">
      <c r="A9" s="10">
        <v>8</v>
      </c>
      <c r="B9" s="11">
        <v>45325</v>
      </c>
      <c r="C9" s="10" t="str">
        <f t="shared" si="0"/>
        <v>Q1</v>
      </c>
      <c r="D9" s="12">
        <v>10.9</v>
      </c>
      <c r="E9" s="8">
        <v>0</v>
      </c>
      <c r="F9" s="12">
        <v>4.5</v>
      </c>
      <c r="G9" s="10" t="s">
        <v>15</v>
      </c>
      <c r="H9" s="13">
        <v>6.39</v>
      </c>
    </row>
    <row r="10" spans="1:8" x14ac:dyDescent="0.25">
      <c r="A10" s="10">
        <v>9</v>
      </c>
      <c r="B10" s="11">
        <v>45398</v>
      </c>
      <c r="C10" s="10" t="str">
        <f t="shared" si="0"/>
        <v>Q2</v>
      </c>
      <c r="D10" s="12">
        <v>7</v>
      </c>
      <c r="E10" s="8">
        <v>2</v>
      </c>
      <c r="F10" s="12">
        <v>5</v>
      </c>
      <c r="G10" s="10" t="s">
        <v>8</v>
      </c>
      <c r="H10" s="13">
        <v>6.17</v>
      </c>
    </row>
    <row r="11" spans="1:8" x14ac:dyDescent="0.25">
      <c r="A11" s="10">
        <v>10</v>
      </c>
      <c r="B11" s="11">
        <v>45471</v>
      </c>
      <c r="C11" s="10" t="str">
        <f t="shared" si="0"/>
        <v>Q2</v>
      </c>
      <c r="D11" s="12">
        <v>12.5</v>
      </c>
      <c r="E11" s="8">
        <v>4</v>
      </c>
      <c r="F11" s="12">
        <v>5.5</v>
      </c>
      <c r="G11" s="10" t="s">
        <v>16</v>
      </c>
      <c r="H11" s="13">
        <v>5.95</v>
      </c>
    </row>
    <row r="12" spans="1:8" x14ac:dyDescent="0.25">
      <c r="A12" s="10">
        <v>11</v>
      </c>
      <c r="B12" s="11">
        <v>45484</v>
      </c>
      <c r="C12" s="10" t="str">
        <f t="shared" si="0"/>
        <v>Q3</v>
      </c>
      <c r="D12" s="12">
        <v>5</v>
      </c>
      <c r="E12" s="8">
        <v>3</v>
      </c>
      <c r="F12" s="12">
        <v>4</v>
      </c>
      <c r="G12" s="10" t="s">
        <v>17</v>
      </c>
      <c r="H12" s="13">
        <v>5.73</v>
      </c>
    </row>
    <row r="13" spans="1:8" x14ac:dyDescent="0.25">
      <c r="A13" s="10">
        <v>12</v>
      </c>
      <c r="B13" s="11">
        <v>45549</v>
      </c>
      <c r="C13" s="10" t="str">
        <f t="shared" si="0"/>
        <v>Q3</v>
      </c>
      <c r="D13" s="12">
        <v>14.1</v>
      </c>
      <c r="E13" s="8">
        <v>4</v>
      </c>
      <c r="F13" s="12">
        <v>8</v>
      </c>
      <c r="G13" s="10" t="s">
        <v>11</v>
      </c>
      <c r="H13" s="13">
        <v>5.51</v>
      </c>
    </row>
    <row r="14" spans="1:8" x14ac:dyDescent="0.25">
      <c r="A14" s="10">
        <v>13</v>
      </c>
      <c r="B14" s="11">
        <v>45614</v>
      </c>
      <c r="C14" s="10" t="str">
        <f t="shared" si="0"/>
        <v>Q4</v>
      </c>
      <c r="D14" s="12">
        <v>10</v>
      </c>
      <c r="E14" s="8">
        <v>0</v>
      </c>
      <c r="F14" s="12">
        <v>7</v>
      </c>
      <c r="G14" s="10" t="s">
        <v>18</v>
      </c>
      <c r="H14" s="13">
        <v>5.29</v>
      </c>
    </row>
    <row r="15" spans="1:8" x14ac:dyDescent="0.25">
      <c r="A15" s="10">
        <v>14</v>
      </c>
      <c r="B15" s="11">
        <v>45679</v>
      </c>
      <c r="C15" s="10" t="str">
        <f t="shared" si="0"/>
        <v>Q1</v>
      </c>
      <c r="D15" s="12">
        <v>4</v>
      </c>
      <c r="E15" s="8">
        <v>2</v>
      </c>
      <c r="F15" s="12">
        <v>1</v>
      </c>
      <c r="G15" s="10" t="s">
        <v>19</v>
      </c>
      <c r="H15" s="13">
        <v>5.07</v>
      </c>
    </row>
    <row r="16" spans="1:8" x14ac:dyDescent="0.25">
      <c r="A16" s="10">
        <v>15</v>
      </c>
      <c r="B16" s="11">
        <v>45744</v>
      </c>
      <c r="C16" s="10" t="str">
        <f t="shared" si="0"/>
        <v>Q1</v>
      </c>
      <c r="D16" s="12">
        <v>6</v>
      </c>
      <c r="E16" s="8">
        <v>2</v>
      </c>
      <c r="F16" s="12">
        <v>5</v>
      </c>
      <c r="G16" s="10" t="s">
        <v>10</v>
      </c>
      <c r="H16" s="13">
        <v>4.8499999999999996</v>
      </c>
    </row>
    <row r="17" spans="1:8" x14ac:dyDescent="0.25">
      <c r="A17" s="10">
        <v>16</v>
      </c>
      <c r="B17" s="11">
        <v>45809</v>
      </c>
      <c r="C17" s="10" t="str">
        <f t="shared" si="0"/>
        <v>Q2</v>
      </c>
      <c r="D17" s="12">
        <v>17.3</v>
      </c>
      <c r="E17" s="8">
        <v>4</v>
      </c>
      <c r="F17" s="12">
        <v>8.5</v>
      </c>
      <c r="G17" s="10" t="s">
        <v>11</v>
      </c>
      <c r="H17" s="13">
        <v>4.63</v>
      </c>
    </row>
    <row r="18" spans="1:8" x14ac:dyDescent="0.25">
      <c r="A18" s="10">
        <v>17</v>
      </c>
      <c r="B18" s="11">
        <v>45874</v>
      </c>
      <c r="C18" s="10" t="str">
        <f t="shared" si="0"/>
        <v>Q3</v>
      </c>
      <c r="D18" s="12">
        <v>18.100000000000001</v>
      </c>
      <c r="E18" s="8">
        <v>1</v>
      </c>
      <c r="F18" s="12">
        <v>8</v>
      </c>
      <c r="G18" s="10" t="s">
        <v>8</v>
      </c>
      <c r="H18" s="13">
        <v>4.41</v>
      </c>
    </row>
    <row r="19" spans="1:8" x14ac:dyDescent="0.25">
      <c r="A19" s="14">
        <v>18</v>
      </c>
      <c r="B19" s="15">
        <v>45939</v>
      </c>
      <c r="C19" s="14" t="str">
        <f t="shared" si="0"/>
        <v>Q4</v>
      </c>
      <c r="D19" s="16">
        <v>18.899999999999999</v>
      </c>
      <c r="E19" s="8">
        <v>2</v>
      </c>
      <c r="F19" s="16">
        <v>9.5</v>
      </c>
      <c r="G19" s="14" t="s">
        <v>20</v>
      </c>
      <c r="H19" s="17">
        <v>4.1900000000000004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1A3F13F5-43E1-4EA4-B357-7FF3EEB4159D}">
  <ds:schemaRefs/>
</ds:datastoreItem>
</file>

<file path=customXml/itemProps2.xml><?xml version="1.0" encoding="utf-8"?>
<ds:datastoreItem xmlns:ds="http://schemas.openxmlformats.org/officeDocument/2006/customXml" ds:itemID="{DC5510F9-354C-4EF9-8DCC-6742AEACF642}">
  <ds:schemaRefs/>
</ds:datastoreItem>
</file>

<file path=customXml/itemProps3.xml><?xml version="1.0" encoding="utf-8"?>
<ds:datastoreItem xmlns:ds="http://schemas.openxmlformats.org/officeDocument/2006/customXml" ds:itemID="{EE215F6D-B04C-4991-BF1A-8EF8DBE93DDE}">
  <ds:schemaRefs/>
</ds:datastoreItem>
</file>

<file path=customXml/itemProps4.xml><?xml version="1.0" encoding="utf-8"?>
<ds:datastoreItem xmlns:ds="http://schemas.openxmlformats.org/officeDocument/2006/customXml" ds:itemID="{D7C1F749-D3EB-4A7C-A869-366E16F17421}">
  <ds:schemaRefs/>
</ds:datastoreItem>
</file>

<file path=customXml/itemProps5.xml><?xml version="1.0" encoding="utf-8"?>
<ds:datastoreItem xmlns:ds="http://schemas.openxmlformats.org/officeDocument/2006/customXml" ds:itemID="{E5807C85-EBA5-4585-A5F9-4D9ED744BD0F}">
  <ds:schemaRefs/>
</ds:datastoreItem>
</file>

<file path=customXml/itemProps6.xml><?xml version="1.0" encoding="utf-8"?>
<ds:datastoreItem xmlns:ds="http://schemas.openxmlformats.org/officeDocument/2006/customXml" ds:itemID="{5B07B5E9-0601-4856-AAFE-6ACEDC3A8E15}">
  <ds:schemaRefs/>
</ds:datastoreItem>
</file>

<file path=customXml/itemProps7.xml><?xml version="1.0" encoding="utf-8"?>
<ds:datastoreItem xmlns:ds="http://schemas.openxmlformats.org/officeDocument/2006/customXml" ds:itemID="{72BFD0CD-E8E6-4F77-A687-FA63C7E71D2C}">
  <ds:schemaRefs>
    <ds:schemaRef ds:uri="http://schemas.microsoft.com/DataMashup"/>
  </ds:schemaRefs>
</ds:datastoreItem>
</file>

<file path=customXml/itemProps8.xml><?xml version="1.0" encoding="utf-8"?>
<ds:datastoreItem xmlns:ds="http://schemas.openxmlformats.org/officeDocument/2006/customXml" ds:itemID="{FACC1AE7-73EF-4BEA-8946-668C4137C05B}">
  <ds:schemaRefs/>
</ds:datastoreItem>
</file>

<file path=customXml/itemProps9.xml><?xml version="1.0" encoding="utf-8"?>
<ds:datastoreItem xmlns:ds="http://schemas.openxmlformats.org/officeDocument/2006/customXml" ds:itemID="{5CD28B30-8851-4318-AFF7-E3E87DD4D0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Pivot_Tables</vt:lpstr>
      <vt:lpstr>Dashboard</vt:lpstr>
      <vt:lpstr>Innovations_Department</vt:lpstr>
      <vt:lpstr>Data_Table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Ehiremhen Ukpebor</dc:creator>
  <cp:lastModifiedBy>Ehiremhen Ukpebor</cp:lastModifiedBy>
  <dcterms:created xsi:type="dcterms:W3CDTF">2025-10-23T12:50:56Z</dcterms:created>
  <dcterms:modified xsi:type="dcterms:W3CDTF">2026-07-18T19:06:21Z</dcterms:modified>
</cp:coreProperties>
</file>